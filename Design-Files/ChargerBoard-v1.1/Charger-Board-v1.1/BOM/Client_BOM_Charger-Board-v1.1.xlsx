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ustingunniers-gamingmouse\Design-Files\ChargerBoard-v1.1\Charger-Board-v1.1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7" i="1" l="1"/>
  <c r="B16" i="1" l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<sst xmlns="http://schemas.openxmlformats.org/spreadsheetml/2006/main" count="115" uniqueCount="83">
  <si>
    <t>#</t>
  </si>
  <si>
    <t>Item Type</t>
  </si>
  <si>
    <t>Capacitor</t>
  </si>
  <si>
    <t>USB Connector</t>
  </si>
  <si>
    <t>Connectors</t>
  </si>
  <si>
    <t>LED</t>
  </si>
  <si>
    <t>Resistor</t>
  </si>
  <si>
    <t>IC</t>
  </si>
  <si>
    <t>Designator</t>
  </si>
  <si>
    <t>C1</t>
  </si>
  <si>
    <t>C2</t>
  </si>
  <si>
    <t>J1</t>
  </si>
  <si>
    <t>J2</t>
  </si>
  <si>
    <t>LED1, LED2, LED4, LED5, LED6, LED7</t>
  </si>
  <si>
    <t>LED3</t>
  </si>
  <si>
    <t>R1, R2</t>
  </si>
  <si>
    <t>R3</t>
  </si>
  <si>
    <t>R4, R5, R7, R8, R9, R12, R13</t>
  </si>
  <si>
    <t>R6</t>
  </si>
  <si>
    <t>R10</t>
  </si>
  <si>
    <t>R11</t>
  </si>
  <si>
    <t>U1</t>
  </si>
  <si>
    <t>U2</t>
  </si>
  <si>
    <t>Description</t>
  </si>
  <si>
    <t>CAP CER 4700PF 1KV X7R 1206</t>
  </si>
  <si>
    <t>CAP CER 10UF 25V X5R 0603</t>
  </si>
  <si>
    <t>USB 3.1 1 Surface Mount 6 Female -25℃~+85℃ Type-C SMD USB Connectors ROHS</t>
  </si>
  <si>
    <t>CONN SPRING MOD 3POS SMD</t>
  </si>
  <si>
    <t>Emerald 0603 Light Emitting Diodes (LED) ROHS</t>
  </si>
  <si>
    <t>RED LED 0603 Light Emitting Diodes</t>
  </si>
  <si>
    <t>RES 5.1K OHM 1% 1/16W 0402</t>
  </si>
  <si>
    <t>RES SMD 1M OHM 1% 1/10W 0603</t>
  </si>
  <si>
    <t>RES 200 OHM 1% 1/16W 0402</t>
  </si>
  <si>
    <t>RES SMD 3.2K OHM 0.1% 1/10W 0603</t>
  </si>
  <si>
    <t>RES SMD 24K OHM 1% 1/16W 0402</t>
  </si>
  <si>
    <t>RES SMD 5.6K OHM 0.1% 1/16W 0402</t>
  </si>
  <si>
    <t>ESOP-8 Battery Management ICs ROHS</t>
  </si>
  <si>
    <t>DIP-18 Other Lighting Drivers ROHS</t>
  </si>
  <si>
    <t>Footprint</t>
  </si>
  <si>
    <t>Cap-1206</t>
  </si>
  <si>
    <t>Cap-0603</t>
  </si>
  <si>
    <t>U262-061N-4BVC11</t>
  </si>
  <si>
    <t>SIB-103-02-F-S-LC</t>
  </si>
  <si>
    <t>LED-0603</t>
  </si>
  <si>
    <t>Res-0402</t>
  </si>
  <si>
    <t>Res-0603</t>
  </si>
  <si>
    <t>ESOP-8</t>
  </si>
  <si>
    <t>DIP-18</t>
  </si>
  <si>
    <t>Manufacturer Part Number</t>
  </si>
  <si>
    <t>CC1206KKX7RCBB472</t>
  </si>
  <si>
    <t>CL10A106MA8NRNC</t>
  </si>
  <si>
    <t>NCD0603G2</t>
  </si>
  <si>
    <t>NCD0603R3</t>
  </si>
  <si>
    <t>RC0402FR-075K1L</t>
  </si>
  <si>
    <t>RC0603FR-071ML</t>
  </si>
  <si>
    <t>RC0402FR-07200RL</t>
  </si>
  <si>
    <t>RT0603BRD073K2L</t>
  </si>
  <si>
    <t>RT0402FRE0724KL</t>
  </si>
  <si>
    <t>RT0402BRD075K6L</t>
  </si>
  <si>
    <t>TP4056-42-ESOP8</t>
  </si>
  <si>
    <t>HT3914ANZ</t>
  </si>
  <si>
    <t>Manufacturer</t>
  </si>
  <si>
    <t>Yageo</t>
  </si>
  <si>
    <t>Samsung</t>
  </si>
  <si>
    <t>XKB</t>
  </si>
  <si>
    <t>Samtec</t>
  </si>
  <si>
    <t>Foshan NationStar Optoelectronics</t>
  </si>
  <si>
    <t>TOPPOWER</t>
  </si>
  <si>
    <t>Tae Jin Technology</t>
  </si>
  <si>
    <t>4.7nF</t>
  </si>
  <si>
    <t>10uF</t>
  </si>
  <si>
    <t>5.1K</t>
  </si>
  <si>
    <t>1M</t>
  </si>
  <si>
    <t>200R</t>
  </si>
  <si>
    <t>3.2K</t>
  </si>
  <si>
    <t>24K</t>
  </si>
  <si>
    <t>5.6K</t>
  </si>
  <si>
    <t>Quantity</t>
  </si>
  <si>
    <t>Value</t>
  </si>
  <si>
    <t>Remarks</t>
  </si>
  <si>
    <t>-</t>
  </si>
  <si>
    <t xml:space="preserve">Peripheral </t>
  </si>
  <si>
    <t xml:space="preserve">USB C-Type Cable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</si>
</sst>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7"/>
  <sheetViews>
    <sheetView tabSelected="1" workbookViewId="0">
      <selection activeCell="G30" sqref="G30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8</v>
      </c>
      <c r="E2" s="6" t="s">
        <v>23</v>
      </c>
      <c r="F2" s="5" t="s">
        <v>38</v>
      </c>
      <c r="G2" s="6" t="s">
        <v>48</v>
      </c>
      <c r="H2" s="5" t="s">
        <v>61</v>
      </c>
      <c r="I2" s="6" t="s">
        <v>78</v>
      </c>
      <c r="J2" s="5" t="s">
        <v>77</v>
      </c>
      <c r="K2" s="5" t="s">
        <v>79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9</v>
      </c>
      <c r="E3" s="8" t="s">
        <v>24</v>
      </c>
      <c r="F3" s="7" t="s">
        <v>39</v>
      </c>
      <c r="G3" s="8" t="s">
        <v>49</v>
      </c>
      <c r="H3" s="7" t="s">
        <v>62</v>
      </c>
      <c r="I3" s="8" t="s">
        <v>69</v>
      </c>
      <c r="J3" s="7">
        <v>1</v>
      </c>
      <c r="K3" s="7"/>
    </row>
    <row r="4" spans="1:11" ht="15.75" thickBot="1" x14ac:dyDescent="0.3">
      <c r="A4" s="1"/>
      <c r="B4" s="11">
        <f t="shared" ref="B4:B17" si="0">ROW(B4) - ROW($B$2)</f>
        <v>2</v>
      </c>
      <c r="C4" s="13" t="s">
        <v>2</v>
      </c>
      <c r="D4" s="9" t="s">
        <v>10</v>
      </c>
      <c r="E4" s="10" t="s">
        <v>25</v>
      </c>
      <c r="F4" s="9" t="s">
        <v>40</v>
      </c>
      <c r="G4" s="10" t="s">
        <v>50</v>
      </c>
      <c r="H4" s="9" t="s">
        <v>63</v>
      </c>
      <c r="I4" s="10" t="s">
        <v>70</v>
      </c>
      <c r="J4" s="9">
        <v>1</v>
      </c>
      <c r="K4" s="9"/>
    </row>
    <row r="5" spans="1:11" ht="36.75" thickBot="1" x14ac:dyDescent="0.3">
      <c r="A5" s="1"/>
      <c r="B5" s="11">
        <f>ROW(B5) - ROW($B$2)</f>
        <v>3</v>
      </c>
      <c r="C5" s="12" t="s">
        <v>3</v>
      </c>
      <c r="D5" s="7" t="s">
        <v>11</v>
      </c>
      <c r="E5" s="8" t="s">
        <v>26</v>
      </c>
      <c r="F5" s="7" t="s">
        <v>41</v>
      </c>
      <c r="G5" s="8" t="s">
        <v>41</v>
      </c>
      <c r="H5" s="7" t="s">
        <v>64</v>
      </c>
      <c r="I5" s="8" t="s">
        <v>80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3" t="s">
        <v>4</v>
      </c>
      <c r="D6" s="9" t="s">
        <v>12</v>
      </c>
      <c r="E6" s="10" t="s">
        <v>27</v>
      </c>
      <c r="F6" s="9" t="s">
        <v>42</v>
      </c>
      <c r="G6" s="10" t="s">
        <v>42</v>
      </c>
      <c r="H6" s="9" t="s">
        <v>65</v>
      </c>
      <c r="I6" s="8" t="s">
        <v>80</v>
      </c>
      <c r="J6" s="9">
        <v>1</v>
      </c>
      <c r="K6" s="9"/>
    </row>
    <row r="7" spans="1:11" ht="24.75" thickBot="1" x14ac:dyDescent="0.3">
      <c r="A7" s="1"/>
      <c r="B7" s="11">
        <f>ROW(B7) - ROW($B$2)</f>
        <v>5</v>
      </c>
      <c r="C7" s="12" t="s">
        <v>5</v>
      </c>
      <c r="D7" s="7" t="s">
        <v>13</v>
      </c>
      <c r="E7" s="8" t="s">
        <v>28</v>
      </c>
      <c r="F7" s="7" t="s">
        <v>43</v>
      </c>
      <c r="G7" s="8" t="s">
        <v>51</v>
      </c>
      <c r="H7" s="7" t="s">
        <v>66</v>
      </c>
      <c r="I7" s="8" t="s">
        <v>80</v>
      </c>
      <c r="J7" s="7">
        <v>6</v>
      </c>
      <c r="K7" s="7"/>
    </row>
    <row r="8" spans="1:11" ht="24.75" thickBot="1" x14ac:dyDescent="0.3">
      <c r="A8" s="1"/>
      <c r="B8" s="11">
        <f t="shared" si="0"/>
        <v>6</v>
      </c>
      <c r="C8" s="13" t="s">
        <v>5</v>
      </c>
      <c r="D8" s="9" t="s">
        <v>14</v>
      </c>
      <c r="E8" s="10" t="s">
        <v>29</v>
      </c>
      <c r="F8" s="9" t="s">
        <v>43</v>
      </c>
      <c r="G8" s="10" t="s">
        <v>52</v>
      </c>
      <c r="H8" s="9" t="s">
        <v>66</v>
      </c>
      <c r="I8" s="8" t="s">
        <v>80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6</v>
      </c>
      <c r="D9" s="7" t="s">
        <v>15</v>
      </c>
      <c r="E9" s="8" t="s">
        <v>30</v>
      </c>
      <c r="F9" s="7" t="s">
        <v>44</v>
      </c>
      <c r="G9" s="8" t="s">
        <v>53</v>
      </c>
      <c r="H9" s="7" t="s">
        <v>62</v>
      </c>
      <c r="I9" s="8" t="s">
        <v>71</v>
      </c>
      <c r="J9" s="7">
        <v>2</v>
      </c>
      <c r="K9" s="7"/>
    </row>
    <row r="10" spans="1:11" ht="15.75" thickBot="1" x14ac:dyDescent="0.3">
      <c r="A10" s="1"/>
      <c r="B10" s="11">
        <f t="shared" si="0"/>
        <v>8</v>
      </c>
      <c r="C10" s="13" t="s">
        <v>6</v>
      </c>
      <c r="D10" s="9" t="s">
        <v>16</v>
      </c>
      <c r="E10" s="10" t="s">
        <v>31</v>
      </c>
      <c r="F10" s="9" t="s">
        <v>45</v>
      </c>
      <c r="G10" s="10" t="s">
        <v>54</v>
      </c>
      <c r="H10" s="9" t="s">
        <v>62</v>
      </c>
      <c r="I10" s="10" t="s">
        <v>72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3" t="s">
        <v>6</v>
      </c>
      <c r="D11" s="7" t="s">
        <v>17</v>
      </c>
      <c r="E11" s="8" t="s">
        <v>32</v>
      </c>
      <c r="F11" s="7" t="s">
        <v>44</v>
      </c>
      <c r="G11" s="8" t="s">
        <v>55</v>
      </c>
      <c r="H11" s="7" t="s">
        <v>62</v>
      </c>
      <c r="I11" s="8" t="s">
        <v>73</v>
      </c>
      <c r="J11" s="7">
        <v>7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6</v>
      </c>
      <c r="D12" s="9" t="s">
        <v>18</v>
      </c>
      <c r="E12" s="10" t="s">
        <v>33</v>
      </c>
      <c r="F12" s="9" t="s">
        <v>45</v>
      </c>
      <c r="G12" s="10" t="s">
        <v>56</v>
      </c>
      <c r="H12" s="9" t="s">
        <v>62</v>
      </c>
      <c r="I12" s="10" t="s">
        <v>74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6</v>
      </c>
      <c r="D13" s="7" t="s">
        <v>19</v>
      </c>
      <c r="E13" s="8" t="s">
        <v>34</v>
      </c>
      <c r="F13" s="7" t="s">
        <v>44</v>
      </c>
      <c r="G13" s="8" t="s">
        <v>57</v>
      </c>
      <c r="H13" s="7" t="s">
        <v>62</v>
      </c>
      <c r="I13" s="8" t="s">
        <v>75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6</v>
      </c>
      <c r="D14" s="9" t="s">
        <v>20</v>
      </c>
      <c r="E14" s="10" t="s">
        <v>35</v>
      </c>
      <c r="F14" s="9" t="s">
        <v>44</v>
      </c>
      <c r="G14" s="10" t="s">
        <v>58</v>
      </c>
      <c r="H14" s="9" t="s">
        <v>62</v>
      </c>
      <c r="I14" s="10" t="s">
        <v>76</v>
      </c>
      <c r="J14" s="9">
        <v>1</v>
      </c>
      <c r="K14" s="9"/>
    </row>
    <row r="15" spans="1:11" ht="24.75" thickBot="1" x14ac:dyDescent="0.3">
      <c r="A15" s="1"/>
      <c r="B15" s="11">
        <f>ROW(B15) - ROW($B$2)</f>
        <v>13</v>
      </c>
      <c r="C15" s="12" t="s">
        <v>7</v>
      </c>
      <c r="D15" s="7" t="s">
        <v>21</v>
      </c>
      <c r="E15" s="8" t="s">
        <v>36</v>
      </c>
      <c r="F15" s="7" t="s">
        <v>46</v>
      </c>
      <c r="G15" s="8" t="s">
        <v>59</v>
      </c>
      <c r="H15" s="7" t="s">
        <v>67</v>
      </c>
      <c r="I15" s="8" t="s">
        <v>80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7</v>
      </c>
      <c r="D16" s="9" t="s">
        <v>22</v>
      </c>
      <c r="E16" s="10" t="s">
        <v>37</v>
      </c>
      <c r="F16" s="9" t="s">
        <v>47</v>
      </c>
      <c r="G16" s="10" t="s">
        <v>60</v>
      </c>
      <c r="H16" s="9" t="s">
        <v>68</v>
      </c>
      <c r="I16" s="8" t="s">
        <v>80</v>
      </c>
      <c r="J16" s="9">
        <v>1</v>
      </c>
      <c r="K16" s="9"/>
    </row>
    <row r="17" spans="2:11" ht="15.75" thickBot="1" x14ac:dyDescent="0.3">
      <c r="B17" s="11">
        <f t="shared" si="0"/>
        <v>15</v>
      </c>
      <c r="C17" s="13" t="s">
        <v>81</v>
      </c>
      <c r="D17" s="9" t="s">
        <v>80</v>
      </c>
      <c r="E17" s="10" t="s">
        <v>80</v>
      </c>
      <c r="F17" s="9" t="s">
        <v>80</v>
      </c>
      <c r="G17" s="10" t="s">
        <v>82</v>
      </c>
      <c r="H17" s="9" t="s">
        <v>80</v>
      </c>
      <c r="I17" s="8" t="s">
        <v>80</v>
      </c>
      <c r="J17" s="9">
        <v>1</v>
      </c>
      <c r="K17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2024-05-09T15:11:18Z</dcterms:modified>
</cp:coreProperties>
</file>