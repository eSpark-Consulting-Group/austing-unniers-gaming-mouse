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\Desktop\BOM file Austin\"/>
    </mc:Choice>
  </mc:AlternateContent>
  <xr:revisionPtr revIDLastSave="0" documentId="13_ncr:1_{18F011C3-2F6E-4D1F-B042-5D53739139B9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54" i="1" l="1"/>
  <c r="B53" i="1"/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<sst xmlns="http://schemas.openxmlformats.org/spreadsheetml/2006/main" count="376" uniqueCount="254">
  <si>
    <t>#</t>
  </si>
  <si>
    <t>Item Type</t>
  </si>
  <si>
    <t>Antenna</t>
  </si>
  <si>
    <t>Capacitor</t>
  </si>
  <si>
    <t>USB Connector</t>
  </si>
  <si>
    <t>Connectors</t>
  </si>
  <si>
    <t>Connector</t>
  </si>
  <si>
    <t>Inductor</t>
  </si>
  <si>
    <t>Inductors</t>
  </si>
  <si>
    <t>LED</t>
  </si>
  <si>
    <t>Mosfet</t>
  </si>
  <si>
    <t>Resistor</t>
  </si>
  <si>
    <t>Switch</t>
  </si>
  <si>
    <t>IC</t>
  </si>
  <si>
    <t>Crystal</t>
  </si>
  <si>
    <t>Designator</t>
  </si>
  <si>
    <t>ANT1</t>
  </si>
  <si>
    <t>ANT2</t>
  </si>
  <si>
    <t>C1</t>
  </si>
  <si>
    <t>C2, C28, C29</t>
  </si>
  <si>
    <t>C3, C4, C8, C9, C11, C14, C32, C33, C34, C35, C36</t>
  </si>
  <si>
    <t>C5, C15, C16</t>
  </si>
  <si>
    <t>C6, C7, C31</t>
  </si>
  <si>
    <t>C10</t>
  </si>
  <si>
    <t>C12, C13, C23, C25</t>
  </si>
  <si>
    <t>C17</t>
  </si>
  <si>
    <t>C18, C30</t>
  </si>
  <si>
    <t>C19</t>
  </si>
  <si>
    <t>C20</t>
  </si>
  <si>
    <t>C21</t>
  </si>
  <si>
    <t>C22</t>
  </si>
  <si>
    <t>C24</t>
  </si>
  <si>
    <t>C26</t>
  </si>
  <si>
    <t>C27</t>
  </si>
  <si>
    <t>J1</t>
  </si>
  <si>
    <t>J2</t>
  </si>
  <si>
    <t>J3</t>
  </si>
  <si>
    <t>L1</t>
  </si>
  <si>
    <t>L2</t>
  </si>
  <si>
    <t>L3</t>
  </si>
  <si>
    <t>L4</t>
  </si>
  <si>
    <t>L5</t>
  </si>
  <si>
    <t>L6</t>
  </si>
  <si>
    <t>LED1</t>
  </si>
  <si>
    <t>LED2, LED9, LED10, LED11</t>
  </si>
  <si>
    <t>LED3, LED4, LED5, LED6, LED7, LED8</t>
  </si>
  <si>
    <t>Q1</t>
  </si>
  <si>
    <t>R1, R2</t>
  </si>
  <si>
    <t>R3</t>
  </si>
  <si>
    <t>R4, R5, R8, R12, R13, R18</t>
  </si>
  <si>
    <t>R6, R10, R11, R14, R16, R17, R22</t>
  </si>
  <si>
    <t>R7</t>
  </si>
  <si>
    <t>R9</t>
  </si>
  <si>
    <t>R15</t>
  </si>
  <si>
    <t>R19</t>
  </si>
  <si>
    <t>R20</t>
  </si>
  <si>
    <t>R23</t>
  </si>
  <si>
    <t>SW1, SW2</t>
  </si>
  <si>
    <t>U1</t>
  </si>
  <si>
    <t>U2</t>
  </si>
  <si>
    <t>U3</t>
  </si>
  <si>
    <t>U4</t>
  </si>
  <si>
    <t>U5</t>
  </si>
  <si>
    <t>U6</t>
  </si>
  <si>
    <t>X1</t>
  </si>
  <si>
    <t>X2</t>
  </si>
  <si>
    <t>Description</t>
  </si>
  <si>
    <t>2.4GHZ CERAMIC CHIP ANTENNA</t>
  </si>
  <si>
    <t>RF ANT 2.4GHZ CHIP SOLDER SMD</t>
  </si>
  <si>
    <t>CAP CER 4700PF 1KV X7R 1206</t>
  </si>
  <si>
    <t>CAP CER 10UF 25V X5R 0603</t>
  </si>
  <si>
    <t>CAP CER 0.1UF 16V X5R 0402</t>
  </si>
  <si>
    <t>CAP CER 10000PF 25V X7R 0402</t>
  </si>
  <si>
    <t>CAP CER 1UF 16V X5R 0402</t>
  </si>
  <si>
    <t>CAP CER 10UF 10V X5R 0402</t>
  </si>
  <si>
    <t>CAP CER 22PF 50V C0G/NPO 0402</t>
  </si>
  <si>
    <t>CAP CER 10000PF 50V X7R 0402</t>
  </si>
  <si>
    <t>CAP CER 1000PF 25V X7R 0402</t>
  </si>
  <si>
    <t>CAP CER 4.7PF 50V C0G/NPO 0402</t>
  </si>
  <si>
    <t>CAP CER 2.2nF 50V X7R ±5% 0402 MLCC - SMD/SMT ROHS</t>
  </si>
  <si>
    <t>CAP CER 1.5PF 50V C0G/NPO 0402</t>
  </si>
  <si>
    <t>CAP CER 1PF 50V C0G/NPO 0402</t>
  </si>
  <si>
    <t>10V 33nF ±10% 0201 Multilayer Ceramic Capacitors MLCC - SMD/SMT ROHS</t>
  </si>
  <si>
    <t>CAP CER 0.8PF 25V C0G/NP0 0201</t>
  </si>
  <si>
    <t>CAP CER 6.2PF 50V C0G/NP0 0201</t>
  </si>
  <si>
    <t>5A 1 16P Female Type-C SMD USB Connectors ROHS</t>
  </si>
  <si>
    <t>CONN SPRING MOD 3POS SMD</t>
  </si>
  <si>
    <t>1x6P SH 1 1mm 6 SMD,P=1mm Wire To Board / Wire To Wire Connector ROHS</t>
  </si>
  <si>
    <t>FIXED IND 6.8NH 200MA 1.15OHM SM</t>
  </si>
  <si>
    <t>FIXED IND 2NH 600MA 100 MOHM SMD</t>
  </si>
  <si>
    <t>140mA 24nH ±3% 2.3Ω 0201 Inductors (SMD) ROHS</t>
  </si>
  <si>
    <t>640mA 2.7nH ±5% 120mΩ 0402 Inductors (SMD) ROHS</t>
  </si>
  <si>
    <t>FIXED IND 8.2NH 550MA 240MOHM SM</t>
  </si>
  <si>
    <t>840mA 3.9nH ±5% 66mΩ 0402 Inductors (SMD) ROHS</t>
  </si>
  <si>
    <t>RED LED 0603 Light Emitting Diodes</t>
  </si>
  <si>
    <t>SMD,2.4x2.7mm RGB LEDs(Built-in IC) ROHS</t>
  </si>
  <si>
    <t>Emerald 0603 Light Emitting Diodes (LED) ROHS</t>
  </si>
  <si>
    <t>N-CHANNEL 20-V (D-S) MOSFET</t>
  </si>
  <si>
    <t>RES 5.1K OHM 1% 1/16W 0402</t>
  </si>
  <si>
    <t>RES SMD 1M OHM 1% 1/10W 0603</t>
  </si>
  <si>
    <t>RES 470 OHM 1% 1/16W 0402</t>
  </si>
  <si>
    <t>RES 10K OHM 1% 1/16W 0402</t>
  </si>
  <si>
    <t>RES 680 OHM 1% 1/16W 0402</t>
  </si>
  <si>
    <t>RES 20K OHM 1% 1/16W 0402</t>
  </si>
  <si>
    <t>RES 499 OHM 1% 1/16W 0402</t>
  </si>
  <si>
    <t>RES SMD 22K OHM 1% 1/10W 0603</t>
  </si>
  <si>
    <t>RES SMD 1M OHM 5% 1/16W 0402</t>
  </si>
  <si>
    <t>RES SMD 1K OHM 1% 1/5W 0402</t>
  </si>
  <si>
    <t>SWITCH TACTILE SPST-NO 0.05A 12V</t>
  </si>
  <si>
    <t>IC LED DRVR LINEAR 120MA 20TSSOP</t>
  </si>
  <si>
    <t>4.5V~5.5V 锂离子/Polymer 1 600mA SOT-23-5 Battery Management ICs ROHS</t>
  </si>
  <si>
    <t>RF TXRX MODULE BLUETOOTH SMD</t>
  </si>
  <si>
    <t>IC REG LINEAR 3.3V 1.2A SOT223</t>
  </si>
  <si>
    <t>IC RF TXRX ISM&gt;1GHZ 20VFQFN</t>
  </si>
  <si>
    <t>IC BATT MON LI-ION 1CELL 8TDFN</t>
  </si>
  <si>
    <t>40MHz SMD Crystal Resonator 15pF SMD3225-4P Crystals ROHS</t>
  </si>
  <si>
    <t>16MHz 贴片晶振 12pF ±10ppm ±50ppm SMD3225-4P Crystals ROHS</t>
  </si>
  <si>
    <t>Footprint</t>
  </si>
  <si>
    <t>RFANT3216120A5T</t>
  </si>
  <si>
    <t>ANT016008LCS2442MA1</t>
  </si>
  <si>
    <t>Cap-1206</t>
  </si>
  <si>
    <t>Cap-0603</t>
  </si>
  <si>
    <t>Cap-0402</t>
  </si>
  <si>
    <t>CAP-0201</t>
  </si>
  <si>
    <t>SIB-103-02-F-S-LC</t>
  </si>
  <si>
    <t>IND-0201</t>
  </si>
  <si>
    <t>IND-0402</t>
  </si>
  <si>
    <t>LED-0603</t>
  </si>
  <si>
    <t>WS2812C-2427</t>
  </si>
  <si>
    <t>Sot-23</t>
  </si>
  <si>
    <t>Res-0402</t>
  </si>
  <si>
    <t>Res-0603</t>
  </si>
  <si>
    <t>B3U-1000P</t>
  </si>
  <si>
    <t>TSSOP-20</t>
  </si>
  <si>
    <t>SOT-23-5</t>
  </si>
  <si>
    <t>32-QFN (5x5)</t>
  </si>
  <si>
    <t>SOT- 223</t>
  </si>
  <si>
    <t>20-QFN (4x4) EP Via</t>
  </si>
  <si>
    <t>8-TDFN-EP (2x2)</t>
  </si>
  <si>
    <t>SMD3225-4P</t>
  </si>
  <si>
    <t>Manufacturer Part Number</t>
  </si>
  <si>
    <t>CC1206KKX7RCBB472</t>
  </si>
  <si>
    <t>CL10A106MA8NRNC</t>
  </si>
  <si>
    <t>CC0402KRX5R7BB104</t>
  </si>
  <si>
    <t>CC0402KRX7R8BB103</t>
  </si>
  <si>
    <t>CC0402KRX5R7BB105</t>
  </si>
  <si>
    <t>CC0402MRX5R6BB106</t>
  </si>
  <si>
    <t>CC0402JRNPO9BN220</t>
  </si>
  <si>
    <t>CC0402KRX7R9BB103</t>
  </si>
  <si>
    <t>CC0402KRX7R8BB102</t>
  </si>
  <si>
    <t>CC0402BRNPO9BN4R7</t>
  </si>
  <si>
    <t>04025C222JAT2A</t>
  </si>
  <si>
    <t>CC0402BRNPO9BN1R5</t>
  </si>
  <si>
    <t>CC0402BRNPO9BN1R0</t>
  </si>
  <si>
    <t>FN03B333K100PLG</t>
  </si>
  <si>
    <t>CC0201BRNPO8BNR80</t>
  </si>
  <si>
    <t>CC0201BRNPO9BN6R2</t>
  </si>
  <si>
    <t>TYPE-C-31-M-12</t>
  </si>
  <si>
    <t>C145963</t>
  </si>
  <si>
    <t>LQP03TG6N8H02D</t>
  </si>
  <si>
    <t>MLG0603P2N0CT000</t>
  </si>
  <si>
    <t>LQP03TN24NH02D</t>
  </si>
  <si>
    <t>CS0402-2N7J-S</t>
  </si>
  <si>
    <t>LQG15HS8N2J02D</t>
  </si>
  <si>
    <t>CS0402-3N9J-S</t>
  </si>
  <si>
    <t>NCD0603R3</t>
  </si>
  <si>
    <t>NCD0603G2</t>
  </si>
  <si>
    <t>SI2302CDS</t>
  </si>
  <si>
    <t>RC0402FR-075K1L</t>
  </si>
  <si>
    <t>RC0603FR-071ML</t>
  </si>
  <si>
    <t>RC0402FR-07470RL</t>
  </si>
  <si>
    <t>RC0402FR-0710KL</t>
  </si>
  <si>
    <t>RC0402FR-07680RL</t>
  </si>
  <si>
    <t>RC0402FR-0720KL</t>
  </si>
  <si>
    <t>RC0402FR-07499RL</t>
  </si>
  <si>
    <t>CRCW060322K0FKEA</t>
  </si>
  <si>
    <t>AF0402JR-071ML</t>
  </si>
  <si>
    <t>CRCW04021K00FKEDHP</t>
  </si>
  <si>
    <t>TLC59108FIPWR</t>
  </si>
  <si>
    <t>TP4054</t>
  </si>
  <si>
    <t>ESP32-C3FH4</t>
  </si>
  <si>
    <t>LDL1117S33R</t>
  </si>
  <si>
    <t>NRF24L01</t>
  </si>
  <si>
    <t>MAX17048G+T10</t>
  </si>
  <si>
    <t>X322540MPB4SI</t>
  </si>
  <si>
    <t>TAXM16M4RFBCCT2T</t>
  </si>
  <si>
    <t>Manufacturer</t>
  </si>
  <si>
    <t>Walsin Technologies</t>
  </si>
  <si>
    <t>TDK</t>
  </si>
  <si>
    <t>Yageo</t>
  </si>
  <si>
    <t>Samsung</t>
  </si>
  <si>
    <t>Kyocera AVX</t>
  </si>
  <si>
    <t>PSA</t>
  </si>
  <si>
    <t>Korean Hroparts Elec</t>
  </si>
  <si>
    <t>Samtec</t>
  </si>
  <si>
    <t>BOOMELE</t>
  </si>
  <si>
    <t>Murata</t>
  </si>
  <si>
    <t>Chilisin Elec</t>
  </si>
  <si>
    <t>Foshan NationStar Optoelectronics</t>
  </si>
  <si>
    <t>WORLDSEMI</t>
  </si>
  <si>
    <t>TECH PUBLIC</t>
  </si>
  <si>
    <t>Vishay</t>
  </si>
  <si>
    <t>Vishay Dale</t>
  </si>
  <si>
    <t>Omron</t>
  </si>
  <si>
    <t>Texas Instruments</t>
  </si>
  <si>
    <t>TPOWER</t>
  </si>
  <si>
    <t>Espressif Systems</t>
  </si>
  <si>
    <t>STMicroelectronics</t>
  </si>
  <si>
    <t>Nordic Semiconductor</t>
  </si>
  <si>
    <t>Maxim</t>
  </si>
  <si>
    <t>Yangxing Tech</t>
  </si>
  <si>
    <t>TAE(Zhejiang Abel Elec)</t>
  </si>
  <si>
    <t>2.4GHZ</t>
  </si>
  <si>
    <t>4.7nF</t>
  </si>
  <si>
    <t>10uF</t>
  </si>
  <si>
    <t>100nF</t>
  </si>
  <si>
    <t>10nF</t>
  </si>
  <si>
    <t>1uF</t>
  </si>
  <si>
    <t>22PF</t>
  </si>
  <si>
    <t>1nF</t>
  </si>
  <si>
    <t>4.7pF</t>
  </si>
  <si>
    <t>2.2nF</t>
  </si>
  <si>
    <t>1.5pF</t>
  </si>
  <si>
    <t>1pF</t>
  </si>
  <si>
    <t>33nF</t>
  </si>
  <si>
    <t>0.8pF</t>
  </si>
  <si>
    <t>6.2pF</t>
  </si>
  <si>
    <t>6.8nH</t>
  </si>
  <si>
    <t>2nH</t>
  </si>
  <si>
    <t>24nH</t>
  </si>
  <si>
    <t>2.7nH</t>
  </si>
  <si>
    <t>8.2nH</t>
  </si>
  <si>
    <t>3.9nH</t>
  </si>
  <si>
    <t>RED</t>
  </si>
  <si>
    <t>5.1K</t>
  </si>
  <si>
    <t>1M</t>
  </si>
  <si>
    <t>470R</t>
  </si>
  <si>
    <t>10K</t>
  </si>
  <si>
    <t>680R</t>
  </si>
  <si>
    <t>20K</t>
  </si>
  <si>
    <t>499R</t>
  </si>
  <si>
    <t>22K</t>
  </si>
  <si>
    <t>1K</t>
  </si>
  <si>
    <t>40MHz</t>
  </si>
  <si>
    <t>16MHz</t>
  </si>
  <si>
    <t>Quantity</t>
  </si>
  <si>
    <t xml:space="preserve">Peripheral </t>
  </si>
  <si>
    <t>-</t>
  </si>
  <si>
    <t xml:space="preserve">USB C-Type Cable </t>
  </si>
  <si>
    <t>Aliexpress</t>
  </si>
  <si>
    <t>Battery</t>
  </si>
  <si>
    <t>Value</t>
  </si>
  <si>
    <t>Remarks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</si>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</sst>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express.com/item/1005004905743771.html?spm=a2g0o.productlist.main.3.20c3D2TsD2Tse3&amp;algo_pvid=97bfb640-e85c-40a1-b59f-3100777550e4&amp;algo_exp_id=97bfb640-e85c-40a1-b59f-3100777550e4-1&amp;pdp_npi=4%40dis%21PKR%211555.82%21638.59%21%21%2140.20%2116" TargetMode="External"/><Relationship Id="rId1" Type="http://schemas.openxmlformats.org/officeDocument/2006/relationships/hyperlink" Target="https://vi.aliexpress.com/item/1005006283368858.html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4"/>
  <sheetViews>
    <sheetView tabSelected="1" workbookViewId="0">
      <selection activeCell="K48" sqref="K4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10.28515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66</v>
      </c>
      <c r="F2" s="5" t="s">
        <v>117</v>
      </c>
      <c r="G2" s="6" t="s">
        <v>140</v>
      </c>
      <c r="H2" s="5" t="s">
        <v>186</v>
      </c>
      <c r="I2" s="6" t="s">
        <v>251</v>
      </c>
      <c r="J2" s="5" t="s">
        <v>245</v>
      </c>
      <c r="K2" s="5" t="s">
        <v>252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16</v>
      </c>
      <c r="E3" s="8" t="s">
        <v>67</v>
      </c>
      <c r="F3" s="7" t="s">
        <v>253</v>
      </c>
      <c r="G3" s="8" t="s">
        <v>118</v>
      </c>
      <c r="H3" s="7" t="s">
        <v>187</v>
      </c>
      <c r="I3" s="8" t="s">
        <v>212</v>
      </c>
      <c r="J3" s="7">
        <v>1</v>
      </c>
      <c r="K3" s="7"/>
    </row>
    <row r="4" spans="1:11" ht="15.75" thickBot="1" x14ac:dyDescent="0.3">
      <c r="A4" s="1"/>
      <c r="B4" s="11">
        <f t="shared" ref="B4:B52" si="0">ROW(B4) - ROW($B$2)</f>
        <v>2</v>
      </c>
      <c r="C4" s="13" t="s">
        <v>2</v>
      </c>
      <c r="D4" s="9" t="s">
        <v>17</v>
      </c>
      <c r="E4" s="10" t="s">
        <v>68</v>
      </c>
      <c r="F4" s="7" t="s">
        <v>253</v>
      </c>
      <c r="G4" s="10" t="s">
        <v>119</v>
      </c>
      <c r="H4" s="9" t="s">
        <v>188</v>
      </c>
      <c r="I4" s="10" t="s">
        <v>247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18</v>
      </c>
      <c r="E5" s="8" t="s">
        <v>69</v>
      </c>
      <c r="F5" s="7" t="s">
        <v>120</v>
      </c>
      <c r="G5" s="8" t="s">
        <v>141</v>
      </c>
      <c r="H5" s="7" t="s">
        <v>189</v>
      </c>
      <c r="I5" s="8" t="s">
        <v>213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19</v>
      </c>
      <c r="E6" s="10" t="s">
        <v>70</v>
      </c>
      <c r="F6" s="9" t="s">
        <v>121</v>
      </c>
      <c r="G6" s="10" t="s">
        <v>142</v>
      </c>
      <c r="H6" s="9" t="s">
        <v>190</v>
      </c>
      <c r="I6" s="10" t="s">
        <v>214</v>
      </c>
      <c r="J6" s="9">
        <v>3</v>
      </c>
      <c r="K6" s="9"/>
    </row>
    <row r="7" spans="1:11" ht="15.75" thickBot="1" x14ac:dyDescent="0.3">
      <c r="A7" s="1"/>
      <c r="B7" s="11">
        <f>ROW(B7) - ROW($B$2)</f>
        <v>5</v>
      </c>
      <c r="C7" s="13" t="s">
        <v>3</v>
      </c>
      <c r="D7" s="7" t="s">
        <v>20</v>
      </c>
      <c r="E7" s="8" t="s">
        <v>71</v>
      </c>
      <c r="F7" s="7" t="s">
        <v>122</v>
      </c>
      <c r="G7" s="8" t="s">
        <v>143</v>
      </c>
      <c r="H7" s="7" t="s">
        <v>189</v>
      </c>
      <c r="I7" s="8" t="s">
        <v>215</v>
      </c>
      <c r="J7" s="7">
        <v>11</v>
      </c>
      <c r="K7" s="7"/>
    </row>
    <row r="8" spans="1:11" ht="15.75" thickBot="1" x14ac:dyDescent="0.3">
      <c r="A8" s="1"/>
      <c r="B8" s="11">
        <f t="shared" si="0"/>
        <v>6</v>
      </c>
      <c r="C8" s="13" t="s">
        <v>3</v>
      </c>
      <c r="D8" s="9" t="s">
        <v>21</v>
      </c>
      <c r="E8" s="10" t="s">
        <v>72</v>
      </c>
      <c r="F8" s="9" t="s">
        <v>122</v>
      </c>
      <c r="G8" s="10" t="s">
        <v>144</v>
      </c>
      <c r="H8" s="9" t="s">
        <v>189</v>
      </c>
      <c r="I8" s="10" t="s">
        <v>216</v>
      </c>
      <c r="J8" s="9">
        <v>3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22</v>
      </c>
      <c r="E9" s="8" t="s">
        <v>73</v>
      </c>
      <c r="F9" s="7" t="s">
        <v>122</v>
      </c>
      <c r="G9" s="8" t="s">
        <v>145</v>
      </c>
      <c r="H9" s="7" t="s">
        <v>189</v>
      </c>
      <c r="I9" s="8" t="s">
        <v>217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23</v>
      </c>
      <c r="E10" s="10" t="s">
        <v>74</v>
      </c>
      <c r="F10" s="9" t="s">
        <v>122</v>
      </c>
      <c r="G10" s="10" t="s">
        <v>146</v>
      </c>
      <c r="H10" s="9" t="s">
        <v>189</v>
      </c>
      <c r="I10" s="10" t="s">
        <v>214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24</v>
      </c>
      <c r="E11" s="8" t="s">
        <v>75</v>
      </c>
      <c r="F11" s="7" t="s">
        <v>122</v>
      </c>
      <c r="G11" s="8" t="s">
        <v>147</v>
      </c>
      <c r="H11" s="7" t="s">
        <v>189</v>
      </c>
      <c r="I11" s="8" t="s">
        <v>218</v>
      </c>
      <c r="J11" s="7">
        <v>4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25</v>
      </c>
      <c r="E12" s="10" t="s">
        <v>76</v>
      </c>
      <c r="F12" s="9" t="s">
        <v>122</v>
      </c>
      <c r="G12" s="10" t="s">
        <v>148</v>
      </c>
      <c r="H12" s="9" t="s">
        <v>189</v>
      </c>
      <c r="I12" s="10" t="s">
        <v>216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26</v>
      </c>
      <c r="E13" s="8" t="s">
        <v>77</v>
      </c>
      <c r="F13" s="7" t="s">
        <v>122</v>
      </c>
      <c r="G13" s="8" t="s">
        <v>149</v>
      </c>
      <c r="H13" s="7" t="s">
        <v>189</v>
      </c>
      <c r="I13" s="8" t="s">
        <v>219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27</v>
      </c>
      <c r="E14" s="10" t="s">
        <v>78</v>
      </c>
      <c r="F14" s="9" t="s">
        <v>122</v>
      </c>
      <c r="G14" s="10" t="s">
        <v>150</v>
      </c>
      <c r="H14" s="9" t="s">
        <v>189</v>
      </c>
      <c r="I14" s="10" t="s">
        <v>220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3</v>
      </c>
      <c r="D15" s="7" t="s">
        <v>28</v>
      </c>
      <c r="E15" s="8" t="s">
        <v>79</v>
      </c>
      <c r="F15" s="7" t="s">
        <v>122</v>
      </c>
      <c r="G15" s="8" t="s">
        <v>151</v>
      </c>
      <c r="H15" s="7" t="s">
        <v>191</v>
      </c>
      <c r="I15" s="8" t="s">
        <v>221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3</v>
      </c>
      <c r="D16" s="9" t="s">
        <v>29</v>
      </c>
      <c r="E16" s="10" t="s">
        <v>80</v>
      </c>
      <c r="F16" s="9" t="s">
        <v>122</v>
      </c>
      <c r="G16" s="10" t="s">
        <v>152</v>
      </c>
      <c r="H16" s="9" t="s">
        <v>189</v>
      </c>
      <c r="I16" s="10" t="s">
        <v>222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30</v>
      </c>
      <c r="E17" s="8" t="s">
        <v>81</v>
      </c>
      <c r="F17" s="7" t="s">
        <v>122</v>
      </c>
      <c r="G17" s="8" t="s">
        <v>153</v>
      </c>
      <c r="H17" s="7" t="s">
        <v>189</v>
      </c>
      <c r="I17" s="8" t="s">
        <v>223</v>
      </c>
      <c r="J17" s="7">
        <v>1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3</v>
      </c>
      <c r="D18" s="9" t="s">
        <v>31</v>
      </c>
      <c r="E18" s="10" t="s">
        <v>82</v>
      </c>
      <c r="F18" s="9" t="s">
        <v>123</v>
      </c>
      <c r="G18" s="10" t="s">
        <v>154</v>
      </c>
      <c r="H18" s="9" t="s">
        <v>192</v>
      </c>
      <c r="I18" s="10" t="s">
        <v>224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3</v>
      </c>
      <c r="D19" s="7" t="s">
        <v>32</v>
      </c>
      <c r="E19" s="8" t="s">
        <v>83</v>
      </c>
      <c r="F19" s="7" t="s">
        <v>123</v>
      </c>
      <c r="G19" s="8" t="s">
        <v>155</v>
      </c>
      <c r="H19" s="7" t="s">
        <v>189</v>
      </c>
      <c r="I19" s="8" t="s">
        <v>225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3</v>
      </c>
      <c r="D20" s="9" t="s">
        <v>33</v>
      </c>
      <c r="E20" s="10" t="s">
        <v>84</v>
      </c>
      <c r="F20" s="9" t="s">
        <v>123</v>
      </c>
      <c r="G20" s="10" t="s">
        <v>156</v>
      </c>
      <c r="H20" s="9" t="s">
        <v>189</v>
      </c>
      <c r="I20" s="10" t="s">
        <v>226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4</v>
      </c>
      <c r="D21" s="7" t="s">
        <v>34</v>
      </c>
      <c r="E21" s="8" t="s">
        <v>85</v>
      </c>
      <c r="F21" s="7" t="s">
        <v>253</v>
      </c>
      <c r="G21" s="8" t="s">
        <v>157</v>
      </c>
      <c r="H21" s="7" t="s">
        <v>193</v>
      </c>
      <c r="I21" s="8" t="s">
        <v>247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5</v>
      </c>
      <c r="D22" s="9" t="s">
        <v>35</v>
      </c>
      <c r="E22" s="10" t="s">
        <v>86</v>
      </c>
      <c r="F22" s="9" t="s">
        <v>253</v>
      </c>
      <c r="G22" s="10" t="s">
        <v>124</v>
      </c>
      <c r="H22" s="9" t="s">
        <v>194</v>
      </c>
      <c r="I22" s="8" t="s">
        <v>247</v>
      </c>
      <c r="J22" s="9">
        <v>1</v>
      </c>
      <c r="K22" s="9"/>
    </row>
    <row r="23" spans="1:11" ht="36.75" thickBot="1" x14ac:dyDescent="0.3">
      <c r="A23" s="1"/>
      <c r="B23" s="11">
        <f>ROW(B23) - ROW($B$2)</f>
        <v>21</v>
      </c>
      <c r="C23" s="12" t="s">
        <v>6</v>
      </c>
      <c r="D23" s="7" t="s">
        <v>36</v>
      </c>
      <c r="E23" s="8" t="s">
        <v>87</v>
      </c>
      <c r="F23" s="7" t="s">
        <v>253</v>
      </c>
      <c r="G23" s="8" t="s">
        <v>158</v>
      </c>
      <c r="H23" s="7" t="s">
        <v>195</v>
      </c>
      <c r="I23" s="8" t="s">
        <v>247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7</v>
      </c>
      <c r="D24" s="9" t="s">
        <v>37</v>
      </c>
      <c r="E24" s="10" t="s">
        <v>88</v>
      </c>
      <c r="F24" s="9" t="s">
        <v>125</v>
      </c>
      <c r="G24" s="10" t="s">
        <v>159</v>
      </c>
      <c r="H24" s="9" t="s">
        <v>196</v>
      </c>
      <c r="I24" s="10" t="s">
        <v>227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7</v>
      </c>
      <c r="D25" s="7" t="s">
        <v>38</v>
      </c>
      <c r="E25" s="8" t="s">
        <v>89</v>
      </c>
      <c r="F25" s="7" t="s">
        <v>125</v>
      </c>
      <c r="G25" s="8" t="s">
        <v>160</v>
      </c>
      <c r="H25" s="7" t="s">
        <v>188</v>
      </c>
      <c r="I25" s="8" t="s">
        <v>228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7</v>
      </c>
      <c r="D26" s="9" t="s">
        <v>39</v>
      </c>
      <c r="E26" s="10" t="s">
        <v>90</v>
      </c>
      <c r="F26" s="9" t="s">
        <v>125</v>
      </c>
      <c r="G26" s="10" t="s">
        <v>161</v>
      </c>
      <c r="H26" s="9" t="s">
        <v>196</v>
      </c>
      <c r="I26" s="10" t="s">
        <v>229</v>
      </c>
      <c r="J26" s="9">
        <v>1</v>
      </c>
      <c r="K26" s="9"/>
    </row>
    <row r="27" spans="1:11" ht="24.75" thickBot="1" x14ac:dyDescent="0.3">
      <c r="A27" s="1"/>
      <c r="B27" s="11">
        <f>ROW(B27) - ROW($B$2)</f>
        <v>25</v>
      </c>
      <c r="C27" s="12" t="s">
        <v>8</v>
      </c>
      <c r="D27" s="7" t="s">
        <v>40</v>
      </c>
      <c r="E27" s="8" t="s">
        <v>91</v>
      </c>
      <c r="F27" s="7" t="s">
        <v>126</v>
      </c>
      <c r="G27" s="8" t="s">
        <v>162</v>
      </c>
      <c r="H27" s="7" t="s">
        <v>197</v>
      </c>
      <c r="I27" s="8" t="s">
        <v>230</v>
      </c>
      <c r="J27" s="7">
        <v>1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7</v>
      </c>
      <c r="D28" s="9" t="s">
        <v>41</v>
      </c>
      <c r="E28" s="10" t="s">
        <v>92</v>
      </c>
      <c r="F28" s="9" t="s">
        <v>126</v>
      </c>
      <c r="G28" s="10" t="s">
        <v>163</v>
      </c>
      <c r="H28" s="9" t="s">
        <v>196</v>
      </c>
      <c r="I28" s="10" t="s">
        <v>231</v>
      </c>
      <c r="J28" s="9">
        <v>1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7</v>
      </c>
      <c r="D29" s="7" t="s">
        <v>42</v>
      </c>
      <c r="E29" s="8" t="s">
        <v>93</v>
      </c>
      <c r="F29" s="7" t="s">
        <v>126</v>
      </c>
      <c r="G29" s="8" t="s">
        <v>164</v>
      </c>
      <c r="H29" s="7" t="s">
        <v>197</v>
      </c>
      <c r="I29" s="8" t="s">
        <v>232</v>
      </c>
      <c r="J29" s="7">
        <v>1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9</v>
      </c>
      <c r="D30" s="9" t="s">
        <v>43</v>
      </c>
      <c r="E30" s="10" t="s">
        <v>94</v>
      </c>
      <c r="F30" s="9" t="s">
        <v>127</v>
      </c>
      <c r="G30" s="10" t="s">
        <v>165</v>
      </c>
      <c r="H30" s="9" t="s">
        <v>198</v>
      </c>
      <c r="I30" s="10" t="s">
        <v>233</v>
      </c>
      <c r="J30" s="9">
        <v>1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9</v>
      </c>
      <c r="D31" s="7" t="s">
        <v>44</v>
      </c>
      <c r="E31" s="8" t="s">
        <v>95</v>
      </c>
      <c r="F31" s="7" t="s">
        <v>253</v>
      </c>
      <c r="G31" s="8" t="s">
        <v>128</v>
      </c>
      <c r="H31" s="7" t="s">
        <v>199</v>
      </c>
      <c r="I31" s="8" t="s">
        <v>247</v>
      </c>
      <c r="J31" s="7">
        <v>4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9</v>
      </c>
      <c r="D32" s="9" t="s">
        <v>45</v>
      </c>
      <c r="E32" s="10" t="s">
        <v>96</v>
      </c>
      <c r="F32" s="9" t="s">
        <v>127</v>
      </c>
      <c r="G32" s="10" t="s">
        <v>166</v>
      </c>
      <c r="H32" s="9" t="s">
        <v>198</v>
      </c>
      <c r="I32" s="10" t="s">
        <v>247</v>
      </c>
      <c r="J32" s="9">
        <v>6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10</v>
      </c>
      <c r="D33" s="7" t="s">
        <v>46</v>
      </c>
      <c r="E33" s="8" t="s">
        <v>97</v>
      </c>
      <c r="F33" s="7" t="s">
        <v>129</v>
      </c>
      <c r="G33" s="8" t="s">
        <v>167</v>
      </c>
      <c r="H33" s="7" t="s">
        <v>200</v>
      </c>
      <c r="I33" s="8" t="s">
        <v>247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11</v>
      </c>
      <c r="D34" s="9" t="s">
        <v>47</v>
      </c>
      <c r="E34" s="10" t="s">
        <v>98</v>
      </c>
      <c r="F34" s="9" t="s">
        <v>130</v>
      </c>
      <c r="G34" s="10" t="s">
        <v>168</v>
      </c>
      <c r="H34" s="9" t="s">
        <v>189</v>
      </c>
      <c r="I34" s="10" t="s">
        <v>234</v>
      </c>
      <c r="J34" s="9">
        <v>2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11</v>
      </c>
      <c r="D35" s="7" t="s">
        <v>48</v>
      </c>
      <c r="E35" s="8" t="s">
        <v>99</v>
      </c>
      <c r="F35" s="7" t="s">
        <v>131</v>
      </c>
      <c r="G35" s="8" t="s">
        <v>169</v>
      </c>
      <c r="H35" s="7" t="s">
        <v>189</v>
      </c>
      <c r="I35" s="8" t="s">
        <v>235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11</v>
      </c>
      <c r="D36" s="9" t="s">
        <v>49</v>
      </c>
      <c r="E36" s="10" t="s">
        <v>100</v>
      </c>
      <c r="F36" s="9" t="s">
        <v>130</v>
      </c>
      <c r="G36" s="10" t="s">
        <v>170</v>
      </c>
      <c r="H36" s="9" t="s">
        <v>189</v>
      </c>
      <c r="I36" s="10" t="s">
        <v>236</v>
      </c>
      <c r="J36" s="9">
        <v>6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11</v>
      </c>
      <c r="D37" s="7" t="s">
        <v>50</v>
      </c>
      <c r="E37" s="8" t="s">
        <v>101</v>
      </c>
      <c r="F37" s="7" t="s">
        <v>130</v>
      </c>
      <c r="G37" s="8" t="s">
        <v>171</v>
      </c>
      <c r="H37" s="7" t="s">
        <v>189</v>
      </c>
      <c r="I37" s="8" t="s">
        <v>237</v>
      </c>
      <c r="J37" s="7">
        <v>7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11</v>
      </c>
      <c r="D38" s="9" t="s">
        <v>51</v>
      </c>
      <c r="E38" s="10" t="s">
        <v>102</v>
      </c>
      <c r="F38" s="9" t="s">
        <v>130</v>
      </c>
      <c r="G38" s="10" t="s">
        <v>172</v>
      </c>
      <c r="H38" s="9" t="s">
        <v>189</v>
      </c>
      <c r="I38" s="10" t="s">
        <v>238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11</v>
      </c>
      <c r="D39" s="7" t="s">
        <v>52</v>
      </c>
      <c r="E39" s="8" t="s">
        <v>103</v>
      </c>
      <c r="F39" s="7" t="s">
        <v>130</v>
      </c>
      <c r="G39" s="8" t="s">
        <v>173</v>
      </c>
      <c r="H39" s="7" t="s">
        <v>189</v>
      </c>
      <c r="I39" s="8" t="s">
        <v>239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2" t="s">
        <v>11</v>
      </c>
      <c r="D40" s="9" t="s">
        <v>53</v>
      </c>
      <c r="E40" s="10" t="s">
        <v>104</v>
      </c>
      <c r="F40" s="9" t="s">
        <v>130</v>
      </c>
      <c r="G40" s="10" t="s">
        <v>174</v>
      </c>
      <c r="H40" s="9" t="s">
        <v>189</v>
      </c>
      <c r="I40" s="10" t="s">
        <v>240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11</v>
      </c>
      <c r="D41" s="7" t="s">
        <v>54</v>
      </c>
      <c r="E41" s="8" t="s">
        <v>105</v>
      </c>
      <c r="F41" s="7" t="s">
        <v>131</v>
      </c>
      <c r="G41" s="8" t="s">
        <v>175</v>
      </c>
      <c r="H41" s="7" t="s">
        <v>201</v>
      </c>
      <c r="I41" s="8" t="s">
        <v>241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11</v>
      </c>
      <c r="D42" s="9" t="s">
        <v>55</v>
      </c>
      <c r="E42" s="10" t="s">
        <v>106</v>
      </c>
      <c r="F42" s="9" t="s">
        <v>130</v>
      </c>
      <c r="G42" s="10" t="s">
        <v>176</v>
      </c>
      <c r="H42" s="9" t="s">
        <v>189</v>
      </c>
      <c r="I42" s="10" t="s">
        <v>235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3" t="s">
        <v>11</v>
      </c>
      <c r="D43" s="7" t="s">
        <v>56</v>
      </c>
      <c r="E43" s="8" t="s">
        <v>107</v>
      </c>
      <c r="F43" s="7" t="s">
        <v>130</v>
      </c>
      <c r="G43" s="8" t="s">
        <v>177</v>
      </c>
      <c r="H43" s="7" t="s">
        <v>202</v>
      </c>
      <c r="I43" s="8" t="s">
        <v>242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12</v>
      </c>
      <c r="D44" s="9" t="s">
        <v>57</v>
      </c>
      <c r="E44" s="10" t="s">
        <v>108</v>
      </c>
      <c r="F44" s="9" t="s">
        <v>253</v>
      </c>
      <c r="G44" s="10" t="s">
        <v>132</v>
      </c>
      <c r="H44" s="9" t="s">
        <v>203</v>
      </c>
      <c r="I44" s="10" t="s">
        <v>247</v>
      </c>
      <c r="J44" s="9">
        <v>2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13</v>
      </c>
      <c r="D45" s="7" t="s">
        <v>58</v>
      </c>
      <c r="E45" s="8" t="s">
        <v>109</v>
      </c>
      <c r="F45" s="7" t="s">
        <v>133</v>
      </c>
      <c r="G45" s="8" t="s">
        <v>178</v>
      </c>
      <c r="H45" s="7" t="s">
        <v>204</v>
      </c>
      <c r="I45" s="8" t="s">
        <v>247</v>
      </c>
      <c r="J45" s="7">
        <v>1</v>
      </c>
      <c r="K45" s="7"/>
    </row>
    <row r="46" spans="1:11" ht="36.75" thickBot="1" x14ac:dyDescent="0.3">
      <c r="A46" s="1"/>
      <c r="B46" s="11">
        <f t="shared" si="0"/>
        <v>44</v>
      </c>
      <c r="C46" s="13" t="s">
        <v>13</v>
      </c>
      <c r="D46" s="9" t="s">
        <v>59</v>
      </c>
      <c r="E46" s="10" t="s">
        <v>110</v>
      </c>
      <c r="F46" s="9" t="s">
        <v>134</v>
      </c>
      <c r="G46" s="10" t="s">
        <v>179</v>
      </c>
      <c r="H46" s="9" t="s">
        <v>205</v>
      </c>
      <c r="I46" s="10" t="s">
        <v>247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13</v>
      </c>
      <c r="D47" s="7" t="s">
        <v>60</v>
      </c>
      <c r="E47" s="8" t="s">
        <v>111</v>
      </c>
      <c r="F47" s="7" t="s">
        <v>135</v>
      </c>
      <c r="G47" s="8" t="s">
        <v>180</v>
      </c>
      <c r="H47" s="7" t="s">
        <v>206</v>
      </c>
      <c r="I47" s="10" t="s">
        <v>247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13</v>
      </c>
      <c r="D48" s="9" t="s">
        <v>61</v>
      </c>
      <c r="E48" s="10" t="s">
        <v>112</v>
      </c>
      <c r="F48" s="9" t="s">
        <v>136</v>
      </c>
      <c r="G48" s="10" t="s">
        <v>181</v>
      </c>
      <c r="H48" s="9" t="s">
        <v>207</v>
      </c>
      <c r="I48" s="10" t="s">
        <v>247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13</v>
      </c>
      <c r="D49" s="7" t="s">
        <v>62</v>
      </c>
      <c r="E49" s="8" t="s">
        <v>113</v>
      </c>
      <c r="F49" s="7" t="s">
        <v>137</v>
      </c>
      <c r="G49" s="8" t="s">
        <v>182</v>
      </c>
      <c r="H49" s="7" t="s">
        <v>208</v>
      </c>
      <c r="I49" s="10" t="s">
        <v>247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13</v>
      </c>
      <c r="D50" s="9" t="s">
        <v>63</v>
      </c>
      <c r="E50" s="10" t="s">
        <v>114</v>
      </c>
      <c r="F50" s="9" t="s">
        <v>138</v>
      </c>
      <c r="G50" s="10" t="s">
        <v>183</v>
      </c>
      <c r="H50" s="9" t="s">
        <v>209</v>
      </c>
      <c r="I50" s="10" t="s">
        <v>247</v>
      </c>
      <c r="J50" s="9">
        <v>1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14</v>
      </c>
      <c r="D51" s="7" t="s">
        <v>64</v>
      </c>
      <c r="E51" s="8" t="s">
        <v>115</v>
      </c>
      <c r="F51" s="7" t="s">
        <v>253</v>
      </c>
      <c r="G51" s="8" t="s">
        <v>184</v>
      </c>
      <c r="H51" s="7" t="s">
        <v>210</v>
      </c>
      <c r="I51" s="8" t="s">
        <v>243</v>
      </c>
      <c r="J51" s="7">
        <v>1</v>
      </c>
      <c r="K51" s="7"/>
    </row>
    <row r="52" spans="1:11" ht="24.75" thickBot="1" x14ac:dyDescent="0.3">
      <c r="A52" s="1"/>
      <c r="B52" s="11">
        <f t="shared" si="0"/>
        <v>50</v>
      </c>
      <c r="C52" s="13" t="s">
        <v>14</v>
      </c>
      <c r="D52" s="9" t="s">
        <v>65</v>
      </c>
      <c r="E52" s="10" t="s">
        <v>116</v>
      </c>
      <c r="F52" s="9" t="s">
        <v>139</v>
      </c>
      <c r="G52" s="10" t="s">
        <v>185</v>
      </c>
      <c r="H52" s="9" t="s">
        <v>211</v>
      </c>
      <c r="I52" s="10" t="s">
        <v>244</v>
      </c>
      <c r="J52" s="9">
        <v>1</v>
      </c>
      <c r="K52" s="9"/>
    </row>
    <row r="53" spans="1:11" ht="15.75" thickBot="1" x14ac:dyDescent="0.3">
      <c r="B53" s="11">
        <f>ROW(B53) - ROW($B$2)</f>
        <v>51</v>
      </c>
      <c r="C53" s="13" t="s">
        <v>246</v>
      </c>
      <c r="D53" s="9" t="s">
        <v>247</v>
      </c>
      <c r="E53" s="10" t="s">
        <v>247</v>
      </c>
      <c r="F53" s="9" t="s">
        <v>247</v>
      </c>
      <c r="G53" s="10" t="s">
        <v>248</v>
      </c>
      <c r="H53" s="9" t="s">
        <v>247</v>
      </c>
      <c r="I53" s="8" t="s">
        <v>247</v>
      </c>
      <c r="J53" s="9">
        <v>1</v>
      </c>
      <c r="K53" s="14" t="s">
        <v>249</v>
      </c>
    </row>
    <row r="54" spans="1:11" ht="15.75" thickBot="1" x14ac:dyDescent="0.3">
      <c r="B54" s="11">
        <f>ROW(B54) - ROW($B$2)</f>
        <v>52</v>
      </c>
      <c r="C54" s="13" t="s">
        <v>246</v>
      </c>
      <c r="D54" s="9" t="s">
        <v>247</v>
      </c>
      <c r="E54" s="10" t="s">
        <v>247</v>
      </c>
      <c r="F54" s="9" t="s">
        <v>247</v>
      </c>
      <c r="G54" s="10" t="s">
        <v>250</v>
      </c>
      <c r="H54" s="9" t="s">
        <v>247</v>
      </c>
      <c r="I54" s="8" t="s">
        <v>247</v>
      </c>
      <c r="J54" s="9">
        <v>1</v>
      </c>
      <c r="K54" s="14" t="s">
        <v>249</v>
      </c>
    </row>
  </sheetData>
  <mergeCells count="1">
    <mergeCell ref="I1:K1"/>
  </mergeCells>
  <hyperlinks>
    <hyperlink ref="K54" r:id="rId1" xr:uid="{932F8D24-B32A-4B53-89BA-BFC2A6C82531}"/>
    <hyperlink ref="K53" r:id="rId2" xr:uid="{347E8977-D0FA-4143-A92B-E15B926D98C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2024-08-27T09:42:33Z</dcterms:modified>
</cp:coreProperties>
</file>