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Sheet1" sheetId="1" r:id="rId1"/>
  </sheets>
  <definedNames>
    <definedName name="_xlnm._FilterDatabase" localSheetId="0" hidden="1">Sheet1!$P$1:$R$72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<sst xmlns="http://schemas.openxmlformats.org/spreadsheetml/2006/main" count="496" uniqueCount="332">
  <si>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</si>
  <si>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</si>
  <si>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</si>
  <si>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</si>
  <si>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</si>
  <si>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</si>
  <si>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</si>
  <si>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</si>
  <si>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</si>
  <si>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</si>
  <si>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Antenna</t>
  </si>
  <si>
    <t>ANT1</t>
  </si>
  <si>
    <t>RF ANT 2.4GHZ CHIP SOLDER SMD</t>
  </si>
  <si>
    <t>Custom</t>
  </si>
  <si>
    <t>ANT016008LCS2442MA1</t>
  </si>
  <si>
    <t>TDK</t>
  </si>
  <si>
    <t>-</t>
  </si>
  <si>
    <t>Capacitor</t>
  </si>
  <si>
    <t>C1, C6, C8</t>
  </si>
  <si>
    <t>CAP CER 0.1UF 25V X6S 0201</t>
  </si>
  <si>
    <t>CAP-0201</t>
  </si>
  <si>
    <t>GRM033C81E104KE14D</t>
  </si>
  <si>
    <t>Murata</t>
  </si>
  <si>
    <t>0.1uF</t>
  </si>
  <si>
    <t>C2, C9</t>
  </si>
  <si>
    <t>CAP CER 10UF 10V X5R 0402</t>
  </si>
  <si>
    <t>Cap-0402</t>
  </si>
  <si>
    <t>CL05A106MP5NUNC</t>
  </si>
  <si>
    <t>Samsung</t>
  </si>
  <si>
    <t>10uF</t>
  </si>
  <si>
    <t>C3, C4, C10, C11, C34, C36</t>
  </si>
  <si>
    <t>CAP CER 10UF 25V X5R 0603</t>
  </si>
  <si>
    <t>Cap-0603</t>
  </si>
  <si>
    <t>C1608X5R1E106M080AC</t>
  </si>
  <si>
    <t>C5</t>
  </si>
  <si>
    <t>CAP CER, 4.7 µF, 25 V, 0603</t>
  </si>
  <si>
    <t>C1608X5R1E475KT000E</t>
  </si>
  <si>
    <t>4.7uF</t>
  </si>
  <si>
    <t>C7</t>
  </si>
  <si>
    <t>10V 33uF X5R ±20% 0805 Multilayer Ceramic Capacitors MLCC - SMD/SMT ROHS</t>
  </si>
  <si>
    <t>Cap-0805</t>
  </si>
  <si>
    <t>C2012X5R1A336MTJ00E</t>
  </si>
  <si>
    <t>33uF</t>
  </si>
  <si>
    <t>C12</t>
  </si>
  <si>
    <t>CAP CER 10000PF 50V X7R 0402</t>
  </si>
  <si>
    <t>CC0402KRX7R9BB103</t>
  </si>
  <si>
    <t>Yageo</t>
  </si>
  <si>
    <t>10nF</t>
  </si>
  <si>
    <t>C13</t>
  </si>
  <si>
    <t>CAP CER 1000PF 25V X7R 0402</t>
  </si>
  <si>
    <t>CC0402KRX7R8BB102</t>
  </si>
  <si>
    <t>1nF</t>
  </si>
  <si>
    <t>C14</t>
  </si>
  <si>
    <t>CAP CER 4.7PF 50V C0G/NPO 0402</t>
  </si>
  <si>
    <t>CC0402BRNPO9BN4R7</t>
  </si>
  <si>
    <t>4.7pF</t>
  </si>
  <si>
    <t>C15</t>
  </si>
  <si>
    <t>CAP CER 2.2nF 50V X7R ±5% 0402 MLCC - SMD/SMT ROHS</t>
  </si>
  <si>
    <t>04025C222JAT2A</t>
  </si>
  <si>
    <t>Kyocera AVX</t>
  </si>
  <si>
    <t>2.2nF</t>
  </si>
  <si>
    <t>C16</t>
  </si>
  <si>
    <t>CAP CER 1.5PF 50V C0G/NPO 0402</t>
  </si>
  <si>
    <t>CC0402BRNPO9BN1R5</t>
  </si>
  <si>
    <t>1.5pF</t>
  </si>
  <si>
    <t>C17</t>
  </si>
  <si>
    <t>CAP CER 1PF 50V C0G/NPO 0402</t>
  </si>
  <si>
    <t>CC0402BRNPO9BN1R0</t>
  </si>
  <si>
    <t>1pF</t>
  </si>
  <si>
    <t>C18, C28, C29, C32</t>
  </si>
  <si>
    <t>CAP CER 22PF 50V C0G/NPO 0402</t>
  </si>
  <si>
    <t>CC0402JRNPO9BN220</t>
  </si>
  <si>
    <t>22PF</t>
  </si>
  <si>
    <t>C19</t>
  </si>
  <si>
    <t>CAP CER 10000PF 25V X7R 0402</t>
  </si>
  <si>
    <t>CC0402KRX7R8BB103</t>
  </si>
  <si>
    <t>C20</t>
  </si>
  <si>
    <t>CAP CER 1UF 25V X5R 0402</t>
  </si>
  <si>
    <t>CC0402KRX5R8BB105</t>
  </si>
  <si>
    <t>1uF</t>
  </si>
  <si>
    <t>C21, C22, C23, C24, C25, C30, C37</t>
  </si>
  <si>
    <t>CAP CER 0.1UF 50V X5R 0402</t>
  </si>
  <si>
    <t>C1005X5R1H104K050BB</t>
  </si>
  <si>
    <t>C26</t>
  </si>
  <si>
    <t>16V 4.7uF ±20% 0402 Multilayer Ceramic Capacitors</t>
  </si>
  <si>
    <t>EDK105BBJ475MVLF</t>
  </si>
  <si>
    <t>Taiyo Yuden</t>
  </si>
  <si>
    <t>4.7uf</t>
  </si>
  <si>
    <t>C27</t>
  </si>
  <si>
    <t>10V 33nF ±10% 0201 Multilayer Ceramic Capacitors MLCC - SMD/SMT ROHS</t>
  </si>
  <si>
    <t>FN03B333K100PLG</t>
  </si>
  <si>
    <t>PSA</t>
  </si>
  <si>
    <t>33nF</t>
  </si>
  <si>
    <t>C31, C33</t>
  </si>
  <si>
    <t>50V 8pF C0G 0402 Multilayer Ceramic Capacitors MLCC - SMD/SMT ROHS</t>
  </si>
  <si>
    <t>0402CG8R0C500NT</t>
  </si>
  <si>
    <t>FH (Guangdong Fenghua Advanced Tech)</t>
  </si>
  <si>
    <t>DNP</t>
  </si>
  <si>
    <t>C35</t>
  </si>
  <si>
    <t>CAP CER 4.7UF 16V X5R 0603</t>
  </si>
  <si>
    <t>CC0603KRX5R7BB475</t>
  </si>
  <si>
    <t>C38</t>
  </si>
  <si>
    <t>CAP CER 0.8PF 25V C0G/NP0 0201</t>
  </si>
  <si>
    <t>CC0201BRNPO8BNR80</t>
  </si>
  <si>
    <t>0.8pF</t>
  </si>
  <si>
    <t>C39</t>
  </si>
  <si>
    <t>CAP CER 6.2PF 50V C0G/NP0 0201</t>
  </si>
  <si>
    <t>CC0201BRNPO9BN6R2</t>
  </si>
  <si>
    <t>6.2pF</t>
  </si>
  <si>
    <t>Diode</t>
  </si>
  <si>
    <t>D1</t>
  </si>
  <si>
    <t>DIODE SCHOTTKY 30V 4A DO214AA</t>
  </si>
  <si>
    <t>SMB_</t>
  </si>
  <si>
    <t>SSB43L-E3/52T</t>
  </si>
  <si>
    <t>Vishay Semiconductors</t>
  </si>
  <si>
    <t>Ferrite Bead</t>
  </si>
  <si>
    <t>FB1, FB2, FB3</t>
  </si>
  <si>
    <t>FERRITE BEAD 1 OHM 0402 1LN</t>
  </si>
  <si>
    <t>IND-0402</t>
  </si>
  <si>
    <t>MFBM1V1005-102-R</t>
  </si>
  <si>
    <t>Eaton Bussmann</t>
  </si>
  <si>
    <t>100MHz</t>
  </si>
  <si>
    <t>Spring Compression Contact</t>
  </si>
  <si>
    <t>J1</t>
  </si>
  <si>
    <t>.100" RIGHT-ANGLE ONE-PIECE INTE</t>
  </si>
  <si>
    <t>SIR1-03-S-S-K</t>
  </si>
  <si>
    <t>Samtec</t>
  </si>
  <si>
    <t>Male Header</t>
  </si>
  <si>
    <t>J2</t>
  </si>
  <si>
    <t>PIN HEADER 2.54MM PITCH STR DIP,</t>
  </si>
  <si>
    <t>HDR 2x2</t>
  </si>
  <si>
    <t>G800LQ594032HR</t>
  </si>
  <si>
    <t>Amphenol</t>
  </si>
  <si>
    <t>J3</t>
  </si>
  <si>
    <t>CONN HEADER VERT 3POS 2.54MM</t>
  </si>
  <si>
    <t>HDR1X3_</t>
  </si>
  <si>
    <t>Inductors</t>
  </si>
  <si>
    <t>L1</t>
  </si>
  <si>
    <t>640mA 2.7nH ±5% 120mΩ 0402 Inductors (SMD) ROHS</t>
  </si>
  <si>
    <t>CS0402-2N7J-S</t>
  </si>
  <si>
    <t>Chilisin Elec</t>
  </si>
  <si>
    <t>2.7nH</t>
  </si>
  <si>
    <t>Inductor</t>
  </si>
  <si>
    <t>L2</t>
  </si>
  <si>
    <t>FIXED IND 8.2NH 550MA 240MOHM SM</t>
  </si>
  <si>
    <t>LQG15HS8N2J02D</t>
  </si>
  <si>
    <t>8.2nH</t>
  </si>
  <si>
    <t>L3</t>
  </si>
  <si>
    <t>840mA 3.9nH ±5% 66mΩ 0402 Inductors (SMD) ROHS</t>
  </si>
  <si>
    <t>CS0402-3N9J-S</t>
  </si>
  <si>
    <t>3.9nH</t>
  </si>
  <si>
    <t>L4</t>
  </si>
  <si>
    <t>FIXED IND 4.7UH 2A 98 MOHM SMD</t>
  </si>
  <si>
    <t>IND-1210</t>
  </si>
  <si>
    <t>DFE322520FD-4R7M=P2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</si>
  <si>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</si>
  <si>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</si>
  <si>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</si>
  <si>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</si>
  <si>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</si>
  <si>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</si>
  <si>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</t>
  </si>
  <si>
    <t>RED LED 0603 Light Emitting Diodes</t>
  </si>
  <si>
    <t>NCD0603R3</t>
  </si>
  <si>
    <t>LED3</t>
  </si>
  <si>
    <t>White light 0603 Light Emitting Diodes (LED) ROHS</t>
  </si>
  <si>
    <t>NCD0603W3</t>
  </si>
  <si>
    <t>RGB LED</t>
  </si>
  <si>
    <t>LED4</t>
  </si>
  <si>
    <t>5mA -40℃~+80℃ RGB SMD,2x2mm Light Emitting Diodes (LED) ROHS</t>
  </si>
  <si>
    <t>SK6812-EC20</t>
  </si>
  <si>
    <t>OPSCO Optoelectronics</t>
  </si>
  <si>
    <t>Test Point</t>
  </si>
  <si>
    <t>P3, P4, P5, P6</t>
  </si>
  <si>
    <t>Test Point ON</t>
  </si>
  <si>
    <t>Test-point - 0.5mm</t>
  </si>
  <si>
    <t>Mosfet</t>
  </si>
  <si>
    <t>Q1</t>
  </si>
  <si>
    <t>N-CHANNEL 20-V (D-S) MOSFET</t>
  </si>
  <si>
    <t>Sot-23</t>
  </si>
  <si>
    <t>SI2302CDS</t>
  </si>
  <si>
    <t>TECH PUBLIC</t>
  </si>
  <si>
    <t>Q2</t>
  </si>
  <si>
    <t>30V 4.1A 60mΩ@10V,4.1A 350mW 3V@250uA P Channel SOT-23 MOSFETs ROHS</t>
  </si>
  <si>
    <t>SOT-23</t>
  </si>
  <si>
    <t>AO3407</t>
  </si>
  <si>
    <t>Guangdong Hottech</t>
  </si>
  <si>
    <t>Q3</t>
  </si>
  <si>
    <t>40V 100mW 100@10mA,1V 200mA 300MHz 300mV@50mA,5mA NPN -55℃~+150℃@(Tj) SOT-723 Bipolar Transistors - BJT ROHS</t>
  </si>
  <si>
    <t>SOT-723</t>
  </si>
  <si>
    <t>MMBT3904M</t>
  </si>
  <si>
    <t>Resistor</t>
  </si>
  <si>
    <t>R1</t>
  </si>
  <si>
    <t>±0.1% 2.5kΩ 0603 Chip Resistor - Surface Mount ROHS</t>
  </si>
  <si>
    <t>Res-0603</t>
  </si>
  <si>
    <t>AR03BTCX2501N</t>
  </si>
  <si>
    <t>Viking Tech</t>
  </si>
  <si>
    <t>2.5K</t>
  </si>
  <si>
    <t>R2, R8</t>
  </si>
  <si>
    <t>RES 3.9K OHM 1% 1/10W 0603</t>
  </si>
  <si>
    <t>RC0603FR-073K9L</t>
  </si>
  <si>
    <t>3.9K</t>
  </si>
  <si>
    <t>R3</t>
  </si>
  <si>
    <t>RES SMD 10K OHM 1% 1/20W 0201</t>
  </si>
  <si>
    <t>Res-0201</t>
  </si>
  <si>
    <t>RC0201FR-0710KL</t>
  </si>
  <si>
    <t>10K</t>
  </si>
  <si>
    <t>R4</t>
  </si>
  <si>
    <t>50mW Thick Film Resistors ±5% 5.6Ω 0201 Chip Resistor - Surface Mount ROHS</t>
  </si>
  <si>
    <t>FRC0201J5R6 TS</t>
  </si>
  <si>
    <t>FOJAN</t>
  </si>
  <si>
    <t>5.6R</t>
  </si>
  <si>
    <t>R5, R6, R17, R18, R19, R20, R23, R24, R25, R26, R34, R35</t>
  </si>
  <si>
    <t>RES 10K OHM 1% 1/16W 0402</t>
  </si>
  <si>
    <t>Res-0402</t>
  </si>
  <si>
    <t>RC0402FR-0710KL</t>
  </si>
  <si>
    <t>R7</t>
  </si>
  <si>
    <t>RES 6.8K OHM 1% 1/16W 0402</t>
  </si>
  <si>
    <t>RC0402FR-076K8L</t>
  </si>
  <si>
    <t>6.8K</t>
  </si>
  <si>
    <t>R9, R10, R11</t>
  </si>
  <si>
    <t>SMD Chip Resistor, 330 Ohm, ± 1%, 63 mW, 0402 [1005 Metric], Thick Film, General Purpose</t>
  </si>
  <si>
    <t>CRCW0402330RFKEDC</t>
  </si>
  <si>
    <t>330R</t>
  </si>
  <si>
    <t>R12</t>
  </si>
  <si>
    <t>RES SMD 22K OHM 1% 1/10W 0603</t>
  </si>
  <si>
    <t>CRCW060322K0FKEA</t>
  </si>
  <si>
    <t>Vishay</t>
  </si>
  <si>
    <t>22K</t>
  </si>
  <si>
    <t>R13, R14</t>
  </si>
  <si>
    <t>RES SMD 1M OHM 5% 1/16W 0402</t>
  </si>
  <si>
    <t>AF0402JR-071ML</t>
  </si>
  <si>
    <t>1M</t>
  </si>
  <si>
    <t>R15</t>
  </si>
  <si>
    <t>Res Thick Film 0402 1M Ohm 1% 0.1W(1/10W) ±100ppm/C Pad SMD Automotive T/R</t>
  </si>
  <si>
    <t>RK73H1ETTP1004F</t>
  </si>
  <si>
    <t>KOA Speer</t>
  </si>
  <si>
    <t>R16</t>
  </si>
  <si>
    <t>R21</t>
  </si>
  <si>
    <t>RES 309K OHM 1% 1/16W 0402</t>
  </si>
  <si>
    <t>RC0402FR-07309KL</t>
  </si>
  <si>
    <t>309K</t>
  </si>
  <si>
    <t>R27, R29</t>
  </si>
  <si>
    <t>RES 1K OHM 1% 1/16W 0402</t>
  </si>
  <si>
    <t>Res-0403</t>
  </si>
  <si>
    <t>RC0402FR-071KL</t>
  </si>
  <si>
    <t>1K</t>
  </si>
  <si>
    <t>R28</t>
  </si>
  <si>
    <t>RES 120K OHM 1% 1/16W 0402</t>
  </si>
  <si>
    <t>RC0402FR-07120KL</t>
  </si>
  <si>
    <t>120K</t>
  </si>
  <si>
    <t>R30</t>
  </si>
  <si>
    <t>RES 4.7K OHM 1% 1/16W 0402</t>
  </si>
  <si>
    <t>RC0402FR-074K7L</t>
  </si>
  <si>
    <t>4.7K</t>
  </si>
  <si>
    <t>R31</t>
  </si>
  <si>
    <t>RES 330K OHM 1% 1/16W 0402</t>
  </si>
  <si>
    <t>CRCW0402330KFKEDC</t>
  </si>
  <si>
    <t>330K</t>
  </si>
  <si>
    <t>Slide Switch</t>
  </si>
  <si>
    <t>SW9</t>
  </si>
  <si>
    <t>SWITCH SLIDE SPDT 200MA 12V</t>
  </si>
  <si>
    <t>CL-SB-12B-02T</t>
  </si>
  <si>
    <t>Nidec Copal</t>
  </si>
  <si>
    <t>Mouse Micro Switch</t>
  </si>
  <si>
    <t>SW1, SW2, SW3, SW7</t>
  </si>
  <si>
    <t>Mouse Micro Switch Micro Button Gold Contactor 80 Million Click Life 3 Pin Black Dot</t>
  </si>
  <si>
    <t>Kailh GM 8.0</t>
  </si>
  <si>
    <t>BUBM</t>
  </si>
  <si>
    <t>SW6</t>
  </si>
  <si>
    <t>50mA 6.2mm 100M Ohm 500,000 times 12V 100gf 6.2mm 3.1mm Round Button Standing paste SPST SMD Tactile Switches</t>
  </si>
  <si>
    <t>GT-TS090C-H031-L5</t>
  </si>
  <si>
    <t>G-Switch</t>
  </si>
  <si>
    <t>Tactile Switch</t>
  </si>
  <si>
    <t>SW4</t>
  </si>
  <si>
    <t>Plugin Tactile Switches ROHS</t>
  </si>
  <si>
    <t>CMI629501D01</t>
  </si>
  <si>
    <t>Kailh</t>
  </si>
  <si>
    <t>Encoder</t>
  </si>
  <si>
    <t>SW5</t>
  </si>
  <si>
    <t>ROTARY ENCODER MECHANICAL</t>
  </si>
  <si>
    <t>E203-13G3-2412-00</t>
  </si>
  <si>
    <t>Switch</t>
  </si>
  <si>
    <t>SW8</t>
  </si>
  <si>
    <t>SWITCH TACTILE SPST-NO 0.05A 12V</t>
  </si>
  <si>
    <t>B3U-1000P</t>
  </si>
  <si>
    <t>Omron</t>
  </si>
  <si>
    <t>IC</t>
  </si>
  <si>
    <t>U1, U3</t>
  </si>
  <si>
    <t>IC REG LIN POS ADJ 200MA SOT23-5</t>
  </si>
  <si>
    <t>SOT-23-5</t>
  </si>
  <si>
    <t>LDK320M-R</t>
  </si>
  <si>
    <t>STMicroelectronics</t>
  </si>
  <si>
    <t>U2</t>
  </si>
  <si>
    <t>Mouse Sensor Optical Gaming Navigation Chip DIP-16</t>
  </si>
  <si>
    <t>PAW3395DM</t>
  </si>
  <si>
    <t>PixArt Imaging Inc</t>
  </si>
  <si>
    <t>U4</t>
  </si>
  <si>
    <t>ARM Cortex-M3 STM32 F1 Microcontroller 32-Bit 72MHz 64kB FLASH LQFP48 STM32F103C8T6</t>
  </si>
  <si>
    <t>48-LQFP (7x7)_</t>
  </si>
  <si>
    <t>STM32F103C8T6</t>
  </si>
  <si>
    <t>U5</t>
  </si>
  <si>
    <t>IC RF TXRX ISM&gt;1GHZ 20VFQFN</t>
  </si>
  <si>
    <t>20-QFN (4x4)</t>
  </si>
  <si>
    <t>NRF24L01</t>
  </si>
  <si>
    <t>Nordic Semiconductor</t>
  </si>
  <si>
    <t>U6</t>
  </si>
  <si>
    <t>boost converterType 28V 2.5V~5.5V 1.5A SOT-23-5 DC-DC Converters ROHS</t>
  </si>
  <si>
    <t>MT3540</t>
  </si>
  <si>
    <t>XI'AN Aerosemi Tech</t>
  </si>
  <si>
    <t>Crystal</t>
  </si>
  <si>
    <t>X1</t>
  </si>
  <si>
    <t>16MHz 贴片晶振 12pF ±10ppm ±50ppm SMD3225-4P Crystals ROHS</t>
  </si>
  <si>
    <t>SMD3225-4P</t>
  </si>
  <si>
    <t>TAXM16M4RFBCCT2T</t>
  </si>
  <si>
    <t>TAE(Zhejiang Abel Elec)</t>
  </si>
  <si>
    <t>16MHz</t>
  </si>
  <si>
    <t>X2</t>
  </si>
  <si>
    <t>5032 2-SMD 8MHz 18pF ±20ppm -40°C~85°C</t>
  </si>
  <si>
    <t>SMD5032-2P</t>
  </si>
  <si>
    <t>ABM3-8.000MHZ-D2Y-T</t>
  </si>
  <si>
    <t>Abracon</t>
  </si>
  <si>
    <t>8MHz</t>
  </si>
  <si>
    <t>X3</t>
  </si>
  <si>
    <t>Crystal 32.768KHZ 6.0PF SMD</t>
  </si>
  <si>
    <t>2-SMD, (2.00mm x 1.20mm)</t>
  </si>
  <si>
    <t>CM8V-T1A-32.768KHZ-6PF-20PPM-TA-QC</t>
  </si>
  <si>
    <t>Micro Crystal</t>
  </si>
  <si>
    <t>Peripheral</t>
  </si>
  <si>
    <t>3.7v 200mah 401020 Lithium Polymer Li-po Rechargeable Battery For Toys Cars Bluetooth Speaker Bluetooth Headset Digital Products</t>
  </si>
  <si>
    <t>Battery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</si>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</sst>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8" fillId="4" borderId="8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11" applyNumberFormat="0" applyAlignment="0" applyProtection="0">
      <alignment vertical="center"/>
    </xf>
    <xf numFmtId="0" fontId="17" fillId="6" borderId="12" applyNumberFormat="0" applyAlignment="0" applyProtection="0">
      <alignment vertical="center"/>
    </xf>
    <xf numFmtId="0" fontId="18" fillId="6" borderId="11" applyNumberFormat="0" applyAlignment="0" applyProtection="0">
      <alignment vertical="center"/>
    </xf>
    <xf numFmtId="0" fontId="19" fillId="7" borderId="13" applyNumberFormat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2" borderId="5" xfId="0" applyNumberFormat="1" applyFont="1" applyFill="1" applyBorder="1" applyAlignment="1">
      <alignment horizontal="center" vertical="center" wrapText="1"/>
    </xf>
    <xf numFmtId="0" fontId="7" fillId="2" borderId="6" xfId="6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vi.aliexpress.com/item/1005006283368858.html?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72"/>
  <sheetViews>
    <sheetView tabSelected="1" topLeftCell="A46" workbookViewId="0">
      <selection activeCell="C60" sqref="C60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6.85714285714286" customWidth="1"/>
    <col min="10" max="10" width="16.7142857142857" customWidth="1"/>
    <col min="11" max="11" width="29.4285714285714" customWidth="1"/>
    <col min="13" max="13" width="36" customWidth="1"/>
    <col min="14" max="14" width="33.4285714285714" customWidth="1"/>
    <col min="15" max="15" width="16.7142857142857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8"/>
      <c r="J1" s="18"/>
      <c r="K1" s="18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1</v>
      </c>
      <c r="K3" s="9"/>
    </row>
    <row r="4" ht="15.75" spans="1:11">
      <c r="A4" s="2"/>
      <c r="B4" s="7">
        <f t="shared" ref="B4:B69" si="0">ROW(B4)-ROW($B$2)</f>
        <v>2</v>
      </c>
      <c r="C4" s="8" t="s">
        <v>17</v>
      </c>
      <c r="D4" s="11" t="s">
        <v>18</v>
      </c>
      <c r="E4" s="12" t="s">
        <v>19</v>
      </c>
      <c r="F4" s="11" t="s">
        <v>20</v>
      </c>
      <c r="G4" s="12" t="s">
        <v>21</v>
      </c>
      <c r="H4" s="11" t="s">
        <v>22</v>
      </c>
      <c r="I4" s="12" t="s">
        <v>23</v>
      </c>
      <c r="J4" s="11">
        <v>3</v>
      </c>
      <c r="K4" s="11"/>
    </row>
    <row r="5" ht="15.75" spans="1:11">
      <c r="A5" s="2"/>
      <c r="B5" s="7">
        <f t="shared" si="0"/>
        <v>3</v>
      </c>
      <c r="C5" s="8" t="s">
        <v>17</v>
      </c>
      <c r="D5" s="9" t="s">
        <v>24</v>
      </c>
      <c r="E5" s="10" t="s">
        <v>25</v>
      </c>
      <c r="F5" s="9" t="s">
        <v>26</v>
      </c>
      <c r="G5" s="10" t="s">
        <v>27</v>
      </c>
      <c r="H5" s="9" t="s">
        <v>28</v>
      </c>
      <c r="I5" s="10" t="s">
        <v>29</v>
      </c>
      <c r="J5" s="9">
        <v>2</v>
      </c>
      <c r="K5" s="9"/>
    </row>
    <row r="6" ht="15.75" spans="1:11">
      <c r="A6" s="2"/>
      <c r="B6" s="7">
        <f t="shared" si="0"/>
        <v>4</v>
      </c>
      <c r="C6" s="13" t="s">
        <v>17</v>
      </c>
      <c r="D6" s="11" t="s">
        <v>30</v>
      </c>
      <c r="E6" s="12" t="s">
        <v>31</v>
      </c>
      <c r="F6" s="11" t="s">
        <v>32</v>
      </c>
      <c r="G6" s="12" t="s">
        <v>33</v>
      </c>
      <c r="H6" s="11" t="s">
        <v>15</v>
      </c>
      <c r="I6" s="12" t="s">
        <v>29</v>
      </c>
      <c r="J6" s="11">
        <v>6</v>
      </c>
      <c r="K6" s="11"/>
    </row>
    <row r="7" ht="15.75" spans="1:11">
      <c r="A7" s="2"/>
      <c r="B7" s="7">
        <f t="shared" si="0"/>
        <v>5</v>
      </c>
      <c r="C7" s="8" t="s">
        <v>17</v>
      </c>
      <c r="D7" s="9" t="s">
        <v>34</v>
      </c>
      <c r="E7" s="10" t="s">
        <v>35</v>
      </c>
      <c r="F7" s="9" t="s">
        <v>32</v>
      </c>
      <c r="G7" s="10" t="s">
        <v>36</v>
      </c>
      <c r="H7" s="9" t="s">
        <v>15</v>
      </c>
      <c r="I7" s="10" t="s">
        <v>37</v>
      </c>
      <c r="J7" s="9">
        <v>1</v>
      </c>
      <c r="K7" s="9"/>
    </row>
    <row r="8" ht="36.75" spans="1:11">
      <c r="A8" s="2"/>
      <c r="B8" s="7">
        <f t="shared" si="0"/>
        <v>6</v>
      </c>
      <c r="C8" s="13" t="s">
        <v>17</v>
      </c>
      <c r="D8" s="11" t="s">
        <v>38</v>
      </c>
      <c r="E8" s="12" t="s">
        <v>39</v>
      </c>
      <c r="F8" s="11" t="s">
        <v>40</v>
      </c>
      <c r="G8" s="12" t="s">
        <v>41</v>
      </c>
      <c r="H8" s="11" t="s">
        <v>15</v>
      </c>
      <c r="I8" s="12" t="s">
        <v>42</v>
      </c>
      <c r="J8" s="11">
        <v>1</v>
      </c>
      <c r="K8" s="11"/>
    </row>
    <row r="9" ht="15.75" spans="1:11">
      <c r="A9" s="2"/>
      <c r="B9" s="7">
        <f t="shared" si="0"/>
        <v>7</v>
      </c>
      <c r="C9" s="8" t="s">
        <v>17</v>
      </c>
      <c r="D9" s="9" t="s">
        <v>43</v>
      </c>
      <c r="E9" s="10" t="s">
        <v>44</v>
      </c>
      <c r="F9" s="9" t="s">
        <v>26</v>
      </c>
      <c r="G9" s="10" t="s">
        <v>45</v>
      </c>
      <c r="H9" s="9" t="s">
        <v>46</v>
      </c>
      <c r="I9" s="10" t="s">
        <v>47</v>
      </c>
      <c r="J9" s="9">
        <v>1</v>
      </c>
      <c r="K9" s="9"/>
    </row>
    <row r="10" ht="15.75" spans="1:11">
      <c r="A10" s="2"/>
      <c r="B10" s="7">
        <f t="shared" si="0"/>
        <v>8</v>
      </c>
      <c r="C10" s="13" t="s">
        <v>17</v>
      </c>
      <c r="D10" s="11" t="s">
        <v>48</v>
      </c>
      <c r="E10" s="12" t="s">
        <v>49</v>
      </c>
      <c r="F10" s="11" t="s">
        <v>26</v>
      </c>
      <c r="G10" s="12" t="s">
        <v>50</v>
      </c>
      <c r="H10" s="11" t="s">
        <v>46</v>
      </c>
      <c r="I10" s="12" t="s">
        <v>51</v>
      </c>
      <c r="J10" s="11">
        <v>1</v>
      </c>
      <c r="K10" s="11"/>
    </row>
    <row r="11" ht="15.75" spans="1:11">
      <c r="A11" s="2"/>
      <c r="B11" s="7">
        <f t="shared" si="0"/>
        <v>9</v>
      </c>
      <c r="C11" s="8" t="s">
        <v>17</v>
      </c>
      <c r="D11" s="9" t="s">
        <v>52</v>
      </c>
      <c r="E11" s="10" t="s">
        <v>53</v>
      </c>
      <c r="F11" s="9" t="s">
        <v>26</v>
      </c>
      <c r="G11" s="10" t="s">
        <v>54</v>
      </c>
      <c r="H11" s="9" t="s">
        <v>46</v>
      </c>
      <c r="I11" s="10" t="s">
        <v>55</v>
      </c>
      <c r="J11" s="9">
        <v>1</v>
      </c>
      <c r="K11" s="9"/>
    </row>
    <row r="12" ht="24.75" spans="1:11">
      <c r="A12" s="2"/>
      <c r="B12" s="7">
        <f t="shared" si="0"/>
        <v>10</v>
      </c>
      <c r="C12" s="13" t="s">
        <v>17</v>
      </c>
      <c r="D12" s="11" t="s">
        <v>56</v>
      </c>
      <c r="E12" s="12" t="s">
        <v>57</v>
      </c>
      <c r="F12" s="11" t="s">
        <v>26</v>
      </c>
      <c r="G12" s="12" t="s">
        <v>58</v>
      </c>
      <c r="H12" s="11" t="s">
        <v>59</v>
      </c>
      <c r="I12" s="12" t="s">
        <v>60</v>
      </c>
      <c r="J12" s="11">
        <v>1</v>
      </c>
      <c r="K12" s="11"/>
    </row>
    <row r="13" ht="15.75" spans="1:11">
      <c r="A13" s="2"/>
      <c r="B13" s="7">
        <f t="shared" si="0"/>
        <v>11</v>
      </c>
      <c r="C13" s="8" t="s">
        <v>17</v>
      </c>
      <c r="D13" s="9" t="s">
        <v>61</v>
      </c>
      <c r="E13" s="10" t="s">
        <v>62</v>
      </c>
      <c r="F13" s="9" t="s">
        <v>26</v>
      </c>
      <c r="G13" s="10" t="s">
        <v>63</v>
      </c>
      <c r="H13" s="9" t="s">
        <v>46</v>
      </c>
      <c r="I13" s="10" t="s">
        <v>64</v>
      </c>
      <c r="J13" s="9">
        <v>1</v>
      </c>
      <c r="K13" s="9"/>
    </row>
    <row r="14" ht="15.75" spans="1:11">
      <c r="A14" s="2"/>
      <c r="B14" s="7">
        <f t="shared" si="0"/>
        <v>12</v>
      </c>
      <c r="C14" s="13" t="s">
        <v>17</v>
      </c>
      <c r="D14" s="11" t="s">
        <v>65</v>
      </c>
      <c r="E14" s="12" t="s">
        <v>66</v>
      </c>
      <c r="F14" s="11" t="s">
        <v>26</v>
      </c>
      <c r="G14" s="12" t="s">
        <v>67</v>
      </c>
      <c r="H14" s="11" t="s">
        <v>46</v>
      </c>
      <c r="I14" s="12" t="s">
        <v>68</v>
      </c>
      <c r="J14" s="11">
        <v>1</v>
      </c>
      <c r="K14" s="11"/>
    </row>
    <row r="15" ht="15.75" spans="1:11">
      <c r="A15" s="2"/>
      <c r="B15" s="7">
        <f t="shared" si="0"/>
        <v>13</v>
      </c>
      <c r="C15" s="8" t="s">
        <v>17</v>
      </c>
      <c r="D15" s="9" t="s">
        <v>69</v>
      </c>
      <c r="E15" s="10" t="s">
        <v>70</v>
      </c>
      <c r="F15" s="9" t="s">
        <v>26</v>
      </c>
      <c r="G15" s="10" t="s">
        <v>71</v>
      </c>
      <c r="H15" s="9" t="s">
        <v>46</v>
      </c>
      <c r="I15" s="10" t="s">
        <v>72</v>
      </c>
      <c r="J15" s="9">
        <v>4</v>
      </c>
      <c r="K15" s="9"/>
    </row>
    <row r="16" ht="15.75" spans="1:11">
      <c r="A16" s="2"/>
      <c r="B16" s="7">
        <f t="shared" si="0"/>
        <v>14</v>
      </c>
      <c r="C16" s="8" t="s">
        <v>17</v>
      </c>
      <c r="D16" s="11" t="s">
        <v>73</v>
      </c>
      <c r="E16" s="12" t="s">
        <v>74</v>
      </c>
      <c r="F16" s="11" t="s">
        <v>26</v>
      </c>
      <c r="G16" s="12" t="s">
        <v>75</v>
      </c>
      <c r="H16" s="11" t="s">
        <v>46</v>
      </c>
      <c r="I16" s="12" t="s">
        <v>47</v>
      </c>
      <c r="J16" s="11">
        <v>1</v>
      </c>
      <c r="K16" s="11"/>
    </row>
    <row r="17" ht="15.75" spans="1:11">
      <c r="A17" s="2"/>
      <c r="B17" s="7">
        <f t="shared" si="0"/>
        <v>15</v>
      </c>
      <c r="C17" s="8" t="s">
        <v>17</v>
      </c>
      <c r="D17" s="9" t="s">
        <v>76</v>
      </c>
      <c r="E17" s="10" t="s">
        <v>77</v>
      </c>
      <c r="F17" s="9" t="s">
        <v>26</v>
      </c>
      <c r="G17" s="10" t="s">
        <v>78</v>
      </c>
      <c r="H17" s="9" t="s">
        <v>46</v>
      </c>
      <c r="I17" s="10" t="s">
        <v>79</v>
      </c>
      <c r="J17" s="9">
        <v>1</v>
      </c>
      <c r="K17" s="9"/>
    </row>
    <row r="18" ht="15.75" spans="1:11">
      <c r="A18" s="2"/>
      <c r="B18" s="7">
        <f t="shared" si="0"/>
        <v>16</v>
      </c>
      <c r="C18" s="8" t="s">
        <v>17</v>
      </c>
      <c r="D18" s="11" t="s">
        <v>80</v>
      </c>
      <c r="E18" s="12" t="s">
        <v>81</v>
      </c>
      <c r="F18" s="11" t="s">
        <v>26</v>
      </c>
      <c r="G18" s="12" t="s">
        <v>82</v>
      </c>
      <c r="H18" s="11" t="s">
        <v>15</v>
      </c>
      <c r="I18" s="12" t="s">
        <v>23</v>
      </c>
      <c r="J18" s="11">
        <v>7</v>
      </c>
      <c r="K18" s="11"/>
    </row>
    <row r="19" ht="24.75" spans="1:11">
      <c r="A19" s="2"/>
      <c r="B19" s="7">
        <f t="shared" si="0"/>
        <v>17</v>
      </c>
      <c r="C19" s="8" t="s">
        <v>17</v>
      </c>
      <c r="D19" s="9" t="s">
        <v>83</v>
      </c>
      <c r="E19" s="10" t="s">
        <v>84</v>
      </c>
      <c r="F19" s="9" t="s">
        <v>26</v>
      </c>
      <c r="G19" s="10" t="s">
        <v>85</v>
      </c>
      <c r="H19" s="9" t="s">
        <v>86</v>
      </c>
      <c r="I19" s="10" t="s">
        <v>87</v>
      </c>
      <c r="J19" s="9">
        <v>1</v>
      </c>
      <c r="K19" s="9"/>
    </row>
    <row r="20" ht="36.75" spans="1:11">
      <c r="A20" s="2"/>
      <c r="B20" s="7">
        <f t="shared" si="0"/>
        <v>18</v>
      </c>
      <c r="C20" s="13" t="s">
        <v>17</v>
      </c>
      <c r="D20" s="11" t="s">
        <v>88</v>
      </c>
      <c r="E20" s="12" t="s">
        <v>89</v>
      </c>
      <c r="F20" s="11" t="s">
        <v>20</v>
      </c>
      <c r="G20" s="12" t="s">
        <v>90</v>
      </c>
      <c r="H20" s="11" t="s">
        <v>91</v>
      </c>
      <c r="I20" s="12" t="s">
        <v>92</v>
      </c>
      <c r="J20" s="11">
        <v>1</v>
      </c>
      <c r="K20" s="11"/>
    </row>
    <row r="21" ht="24.75" spans="1:11">
      <c r="A21" s="2"/>
      <c r="B21" s="7">
        <f t="shared" si="0"/>
        <v>19</v>
      </c>
      <c r="C21" s="8" t="s">
        <v>17</v>
      </c>
      <c r="D21" s="14" t="s">
        <v>93</v>
      </c>
      <c r="E21" s="15" t="s">
        <v>94</v>
      </c>
      <c r="F21" s="14" t="s">
        <v>26</v>
      </c>
      <c r="G21" s="15" t="s">
        <v>95</v>
      </c>
      <c r="H21" s="14" t="s">
        <v>96</v>
      </c>
      <c r="I21" s="15" t="s">
        <v>97</v>
      </c>
      <c r="J21" s="14">
        <v>2</v>
      </c>
      <c r="K21" s="14"/>
    </row>
    <row r="22" ht="15.75" spans="1:11">
      <c r="A22" s="2"/>
      <c r="B22" s="7">
        <f t="shared" si="0"/>
        <v>20</v>
      </c>
      <c r="C22" s="13" t="s">
        <v>17</v>
      </c>
      <c r="D22" s="11" t="s">
        <v>98</v>
      </c>
      <c r="E22" s="12" t="s">
        <v>99</v>
      </c>
      <c r="F22" s="11" t="s">
        <v>32</v>
      </c>
      <c r="G22" s="12" t="s">
        <v>100</v>
      </c>
      <c r="H22" s="11" t="s">
        <v>46</v>
      </c>
      <c r="I22" s="12" t="s">
        <v>37</v>
      </c>
      <c r="J22" s="11">
        <v>1</v>
      </c>
      <c r="K22" s="11"/>
    </row>
    <row r="23" ht="15.75" spans="1:11">
      <c r="A23" s="2"/>
      <c r="B23" s="7">
        <f t="shared" si="0"/>
        <v>21</v>
      </c>
      <c r="C23" s="8" t="s">
        <v>17</v>
      </c>
      <c r="D23" s="9" t="s">
        <v>101</v>
      </c>
      <c r="E23" s="10" t="s">
        <v>102</v>
      </c>
      <c r="F23" s="9" t="s">
        <v>20</v>
      </c>
      <c r="G23" s="10" t="s">
        <v>103</v>
      </c>
      <c r="H23" s="9" t="s">
        <v>46</v>
      </c>
      <c r="I23" s="10" t="s">
        <v>104</v>
      </c>
      <c r="J23" s="9">
        <v>1</v>
      </c>
      <c r="K23" s="9"/>
    </row>
    <row r="24" ht="15.75" spans="1:11">
      <c r="A24" s="2"/>
      <c r="B24" s="7">
        <f t="shared" si="0"/>
        <v>22</v>
      </c>
      <c r="C24" s="13" t="s">
        <v>17</v>
      </c>
      <c r="D24" s="11" t="s">
        <v>105</v>
      </c>
      <c r="E24" s="12" t="s">
        <v>106</v>
      </c>
      <c r="F24" s="11" t="s">
        <v>20</v>
      </c>
      <c r="G24" s="12" t="s">
        <v>107</v>
      </c>
      <c r="H24" s="11" t="s">
        <v>46</v>
      </c>
      <c r="I24" s="12" t="s">
        <v>108</v>
      </c>
      <c r="J24" s="11">
        <v>1</v>
      </c>
      <c r="K24" s="11"/>
    </row>
    <row r="25" ht="15.75" spans="1:11">
      <c r="A25" s="2"/>
      <c r="B25" s="7">
        <f t="shared" si="0"/>
        <v>23</v>
      </c>
      <c r="C25" s="8" t="s">
        <v>109</v>
      </c>
      <c r="D25" s="9" t="s">
        <v>110</v>
      </c>
      <c r="E25" s="10" t="s">
        <v>111</v>
      </c>
      <c r="F25" s="9" t="s">
        <v>112</v>
      </c>
      <c r="G25" s="10" t="s">
        <v>113</v>
      </c>
      <c r="H25" s="9" t="s">
        <v>114</v>
      </c>
      <c r="I25" s="10" t="s">
        <v>16</v>
      </c>
      <c r="J25" s="9">
        <v>1</v>
      </c>
      <c r="K25" s="9"/>
    </row>
    <row r="26" ht="15.75" spans="1:11">
      <c r="A26" s="2"/>
      <c r="B26" s="7">
        <f t="shared" si="0"/>
        <v>24</v>
      </c>
      <c r="C26" s="13" t="s">
        <v>115</v>
      </c>
      <c r="D26" s="11" t="s">
        <v>116</v>
      </c>
      <c r="E26" s="12" t="s">
        <v>117</v>
      </c>
      <c r="F26" s="11" t="s">
        <v>118</v>
      </c>
      <c r="G26" s="12" t="s">
        <v>119</v>
      </c>
      <c r="H26" s="11" t="s">
        <v>120</v>
      </c>
      <c r="I26" s="12" t="s">
        <v>121</v>
      </c>
      <c r="J26" s="11">
        <v>3</v>
      </c>
      <c r="K26" s="11"/>
    </row>
    <row r="27" ht="26.25" spans="1:11">
      <c r="A27" s="2"/>
      <c r="B27" s="7">
        <f t="shared" si="0"/>
        <v>25</v>
      </c>
      <c r="C27" s="8" t="s">
        <v>122</v>
      </c>
      <c r="D27" s="9" t="s">
        <v>123</v>
      </c>
      <c r="E27" s="10" t="s">
        <v>124</v>
      </c>
      <c r="F27" s="9" t="s">
        <v>13</v>
      </c>
      <c r="G27" s="10" t="s">
        <v>125</v>
      </c>
      <c r="H27" s="9" t="s">
        <v>126</v>
      </c>
      <c r="I27" s="10" t="s">
        <v>16</v>
      </c>
      <c r="J27" s="9">
        <v>1</v>
      </c>
      <c r="K27" s="9"/>
    </row>
    <row r="28" ht="15.75" spans="1:11">
      <c r="A28" s="2"/>
      <c r="B28" s="7">
        <f t="shared" si="0"/>
        <v>26</v>
      </c>
      <c r="C28" s="13" t="s">
        <v>127</v>
      </c>
      <c r="D28" s="11" t="s">
        <v>128</v>
      </c>
      <c r="E28" s="12" t="s">
        <v>129</v>
      </c>
      <c r="F28" s="11" t="s">
        <v>130</v>
      </c>
      <c r="G28" s="12" t="s">
        <v>131</v>
      </c>
      <c r="H28" s="11" t="s">
        <v>132</v>
      </c>
      <c r="I28" s="10" t="s">
        <v>16</v>
      </c>
      <c r="J28" s="11">
        <v>1</v>
      </c>
      <c r="K28" s="11"/>
    </row>
    <row r="29" ht="15.75" spans="1:11">
      <c r="A29" s="2"/>
      <c r="B29" s="7">
        <f t="shared" si="0"/>
        <v>27</v>
      </c>
      <c r="C29" s="8" t="s">
        <v>127</v>
      </c>
      <c r="D29" s="9" t="s">
        <v>133</v>
      </c>
      <c r="E29" s="10" t="s">
        <v>134</v>
      </c>
      <c r="F29" s="9" t="s">
        <v>135</v>
      </c>
      <c r="G29" s="10"/>
      <c r="H29" s="9"/>
      <c r="I29" s="10" t="s">
        <v>16</v>
      </c>
      <c r="J29" s="9">
        <v>1</v>
      </c>
      <c r="K29" s="9"/>
    </row>
    <row r="30" ht="24.75" spans="1:11">
      <c r="A30" s="2"/>
      <c r="B30" s="7">
        <f t="shared" si="0"/>
        <v>28</v>
      </c>
      <c r="C30" s="13" t="s">
        <v>136</v>
      </c>
      <c r="D30" s="11" t="s">
        <v>137</v>
      </c>
      <c r="E30" s="12" t="s">
        <v>138</v>
      </c>
      <c r="F30" s="11" t="s">
        <v>118</v>
      </c>
      <c r="G30" s="12" t="s">
        <v>139</v>
      </c>
      <c r="H30" s="11" t="s">
        <v>140</v>
      </c>
      <c r="I30" s="12" t="s">
        <v>141</v>
      </c>
      <c r="J30" s="11">
        <v>1</v>
      </c>
      <c r="K30" s="11"/>
    </row>
    <row r="31" ht="15.75" spans="1:11">
      <c r="A31" s="2"/>
      <c r="B31" s="7">
        <f t="shared" si="0"/>
        <v>29</v>
      </c>
      <c r="C31" s="8" t="s">
        <v>142</v>
      </c>
      <c r="D31" s="9" t="s">
        <v>143</v>
      </c>
      <c r="E31" s="10" t="s">
        <v>144</v>
      </c>
      <c r="F31" s="9" t="s">
        <v>118</v>
      </c>
      <c r="G31" s="10" t="s">
        <v>145</v>
      </c>
      <c r="H31" s="9" t="s">
        <v>22</v>
      </c>
      <c r="I31" s="10" t="s">
        <v>146</v>
      </c>
      <c r="J31" s="9">
        <v>1</v>
      </c>
      <c r="K31" s="9"/>
    </row>
    <row r="32" ht="24.75" spans="1:11">
      <c r="A32" s="2"/>
      <c r="B32" s="7">
        <f t="shared" si="0"/>
        <v>30</v>
      </c>
      <c r="C32" s="13" t="s">
        <v>142</v>
      </c>
      <c r="D32" s="11" t="s">
        <v>147</v>
      </c>
      <c r="E32" s="12" t="s">
        <v>148</v>
      </c>
      <c r="F32" s="11" t="s">
        <v>118</v>
      </c>
      <c r="G32" s="12" t="s">
        <v>149</v>
      </c>
      <c r="H32" s="11" t="s">
        <v>140</v>
      </c>
      <c r="I32" s="12" t="s">
        <v>150</v>
      </c>
      <c r="J32" s="11">
        <v>1</v>
      </c>
      <c r="K32" s="11"/>
    </row>
    <row r="33" ht="15.75" spans="1:11">
      <c r="A33" s="2"/>
      <c r="B33" s="7">
        <f t="shared" si="0"/>
        <v>31</v>
      </c>
      <c r="C33" s="8" t="s">
        <v>142</v>
      </c>
      <c r="D33" s="9" t="s">
        <v>151</v>
      </c>
      <c r="E33" s="10" t="s">
        <v>152</v>
      </c>
      <c r="F33" s="9" t="s">
        <v>153</v>
      </c>
      <c r="G33" s="10" t="s">
        <v>154</v>
      </c>
      <c r="H33" s="9" t="s">
        <v>22</v>
      </c>
      <c r="I33" s="10" t="s">
        <v>16</v>
      </c>
      <c r="J33" s="9">
        <v>1</v>
      </c>
      <c r="K33" s="9"/>
    </row>
    <row r="34" ht="24.75" spans="1:11">
      <c r="A34" s="2"/>
      <c r="B34" s="7">
        <f t="shared" si="0"/>
        <v>32</v>
      </c>
      <c r="C34" s="13" t="s">
        <v>155</v>
      </c>
      <c r="D34" s="11" t="s">
        <v>156</v>
      </c>
      <c r="E34" s="12" t="s">
        <v>157</v>
      </c>
      <c r="F34" s="11" t="s">
        <v>158</v>
      </c>
      <c r="G34" s="12" t="s">
        <v>159</v>
      </c>
      <c r="H34" s="11" t="s">
        <v>160</v>
      </c>
      <c r="I34" s="10" t="s">
        <v>16</v>
      </c>
      <c r="J34" s="11">
        <v>1</v>
      </c>
      <c r="K34" s="11"/>
    </row>
    <row r="35" ht="24.75" spans="1:11">
      <c r="A35" s="2"/>
      <c r="B35" s="7">
        <f t="shared" si="0"/>
        <v>33</v>
      </c>
      <c r="C35" s="8" t="s">
        <v>155</v>
      </c>
      <c r="D35" s="9" t="s">
        <v>161</v>
      </c>
      <c r="E35" s="10" t="s">
        <v>162</v>
      </c>
      <c r="F35" s="9" t="s">
        <v>158</v>
      </c>
      <c r="G35" s="10" t="s">
        <v>163</v>
      </c>
      <c r="H35" s="9" t="s">
        <v>160</v>
      </c>
      <c r="I35" s="10" t="s">
        <v>16</v>
      </c>
      <c r="J35" s="9">
        <v>1</v>
      </c>
      <c r="K35" s="9"/>
    </row>
    <row r="36" ht="24.75" spans="1:11">
      <c r="A36" s="2"/>
      <c r="B36" s="7">
        <f t="shared" si="0"/>
        <v>34</v>
      </c>
      <c r="C36" s="13" t="s">
        <v>155</v>
      </c>
      <c r="D36" s="11" t="s">
        <v>164</v>
      </c>
      <c r="E36" s="12" t="s">
        <v>165</v>
      </c>
      <c r="F36" s="11" t="s">
        <v>158</v>
      </c>
      <c r="G36" s="12" t="s">
        <v>166</v>
      </c>
      <c r="H36" s="11" t="s">
        <v>160</v>
      </c>
      <c r="I36" s="10" t="s">
        <v>16</v>
      </c>
      <c r="J36" s="11">
        <v>1</v>
      </c>
      <c r="K36" s="11"/>
    </row>
    <row r="37" ht="24.75" spans="1:11">
      <c r="A37" s="2"/>
      <c r="B37" s="7">
        <f t="shared" si="0"/>
        <v>35</v>
      </c>
      <c r="C37" s="8" t="s">
        <v>167</v>
      </c>
      <c r="D37" s="9" t="s">
        <v>168</v>
      </c>
      <c r="E37" s="10" t="s">
        <v>169</v>
      </c>
      <c r="F37" s="9" t="s">
        <v>13</v>
      </c>
      <c r="G37" s="10" t="s">
        <v>170</v>
      </c>
      <c r="H37" s="9" t="s">
        <v>171</v>
      </c>
      <c r="I37" s="10" t="s">
        <v>16</v>
      </c>
      <c r="J37" s="9">
        <v>1</v>
      </c>
      <c r="K37" s="9"/>
    </row>
    <row r="38" ht="15.75" spans="1:11">
      <c r="A38" s="2"/>
      <c r="B38" s="7">
        <f t="shared" si="0"/>
        <v>36</v>
      </c>
      <c r="C38" s="13" t="s">
        <v>172</v>
      </c>
      <c r="D38" s="11" t="s">
        <v>173</v>
      </c>
      <c r="E38" s="12" t="s">
        <v>174</v>
      </c>
      <c r="F38" s="9" t="s">
        <v>13</v>
      </c>
      <c r="G38" s="11" t="s">
        <v>175</v>
      </c>
      <c r="H38" s="11"/>
      <c r="I38" s="10" t="s">
        <v>16</v>
      </c>
      <c r="J38" s="11">
        <v>4</v>
      </c>
      <c r="K38" s="11"/>
    </row>
    <row r="39" ht="15.75" spans="1:11">
      <c r="A39" s="2"/>
      <c r="B39" s="7">
        <f t="shared" si="0"/>
        <v>37</v>
      </c>
      <c r="C39" s="8" t="s">
        <v>176</v>
      </c>
      <c r="D39" s="9" t="s">
        <v>177</v>
      </c>
      <c r="E39" s="10" t="s">
        <v>178</v>
      </c>
      <c r="F39" s="9" t="s">
        <v>179</v>
      </c>
      <c r="G39" s="10" t="s">
        <v>180</v>
      </c>
      <c r="H39" s="9" t="s">
        <v>181</v>
      </c>
      <c r="I39" s="10" t="s">
        <v>16</v>
      </c>
      <c r="J39" s="9">
        <v>1</v>
      </c>
      <c r="K39" s="9"/>
    </row>
    <row r="40" ht="36.75" spans="1:11">
      <c r="A40" s="2"/>
      <c r="B40" s="7">
        <f t="shared" si="0"/>
        <v>38</v>
      </c>
      <c r="C40" s="13" t="s">
        <v>176</v>
      </c>
      <c r="D40" s="11" t="s">
        <v>182</v>
      </c>
      <c r="E40" s="12" t="s">
        <v>183</v>
      </c>
      <c r="F40" s="11" t="s">
        <v>184</v>
      </c>
      <c r="G40" s="12" t="s">
        <v>185</v>
      </c>
      <c r="H40" s="11" t="s">
        <v>186</v>
      </c>
      <c r="I40" s="10" t="s">
        <v>16</v>
      </c>
      <c r="J40" s="11">
        <v>1</v>
      </c>
      <c r="K40" s="11"/>
    </row>
    <row r="41" ht="48.75" spans="1:11">
      <c r="A41" s="2"/>
      <c r="B41" s="7">
        <f t="shared" si="0"/>
        <v>39</v>
      </c>
      <c r="C41" s="8" t="s">
        <v>176</v>
      </c>
      <c r="D41" s="9" t="s">
        <v>187</v>
      </c>
      <c r="E41" s="10" t="s">
        <v>188</v>
      </c>
      <c r="F41" s="9" t="s">
        <v>189</v>
      </c>
      <c r="G41" s="10" t="s">
        <v>190</v>
      </c>
      <c r="H41" s="9" t="s">
        <v>181</v>
      </c>
      <c r="I41" s="10" t="s">
        <v>16</v>
      </c>
      <c r="J41" s="9">
        <v>1</v>
      </c>
      <c r="K41" s="9"/>
    </row>
    <row r="42" ht="24.75" spans="1:11">
      <c r="A42" s="2"/>
      <c r="B42" s="7">
        <f t="shared" si="0"/>
        <v>40</v>
      </c>
      <c r="C42" s="13" t="s">
        <v>191</v>
      </c>
      <c r="D42" s="11" t="s">
        <v>192</v>
      </c>
      <c r="E42" s="12" t="s">
        <v>193</v>
      </c>
      <c r="F42" s="11" t="s">
        <v>194</v>
      </c>
      <c r="G42" s="12" t="s">
        <v>195</v>
      </c>
      <c r="H42" s="11" t="s">
        <v>196</v>
      </c>
      <c r="I42" s="12" t="s">
        <v>197</v>
      </c>
      <c r="J42" s="11">
        <v>1</v>
      </c>
      <c r="K42" s="11"/>
    </row>
    <row r="43" ht="15.75" spans="1:11">
      <c r="A43" s="2"/>
      <c r="B43" s="7">
        <f t="shared" si="0"/>
        <v>41</v>
      </c>
      <c r="C43" s="8"/>
      <c r="D43" s="9" t="s">
        <v>198</v>
      </c>
      <c r="E43" s="10" t="s">
        <v>199</v>
      </c>
      <c r="F43" s="9" t="s">
        <v>194</v>
      </c>
      <c r="G43" s="10" t="s">
        <v>200</v>
      </c>
      <c r="H43" s="9" t="s">
        <v>46</v>
      </c>
      <c r="I43" s="10" t="s">
        <v>201</v>
      </c>
      <c r="J43" s="9">
        <v>2</v>
      </c>
      <c r="K43" s="9"/>
    </row>
    <row r="44" ht="15.75" spans="1:11">
      <c r="A44" s="2"/>
      <c r="B44" s="7">
        <f t="shared" si="0"/>
        <v>42</v>
      </c>
      <c r="C44" s="13" t="s">
        <v>191</v>
      </c>
      <c r="D44" s="11" t="s">
        <v>202</v>
      </c>
      <c r="E44" s="12" t="s">
        <v>203</v>
      </c>
      <c r="F44" s="11" t="s">
        <v>204</v>
      </c>
      <c r="G44" s="12" t="s">
        <v>205</v>
      </c>
      <c r="H44" s="11" t="s">
        <v>46</v>
      </c>
      <c r="I44" s="12" t="s">
        <v>206</v>
      </c>
      <c r="J44" s="11">
        <v>1</v>
      </c>
      <c r="K44" s="11"/>
    </row>
    <row r="45" ht="36.75" spans="1:11">
      <c r="A45" s="2"/>
      <c r="B45" s="7">
        <f t="shared" si="0"/>
        <v>43</v>
      </c>
      <c r="C45" s="8" t="s">
        <v>191</v>
      </c>
      <c r="D45" s="9" t="s">
        <v>207</v>
      </c>
      <c r="E45" s="10" t="s">
        <v>208</v>
      </c>
      <c r="F45" s="9" t="s">
        <v>204</v>
      </c>
      <c r="G45" s="10" t="s">
        <v>209</v>
      </c>
      <c r="H45" s="9" t="s">
        <v>210</v>
      </c>
      <c r="I45" s="10" t="s">
        <v>211</v>
      </c>
      <c r="J45" s="9">
        <v>1</v>
      </c>
      <c r="K45" s="9"/>
    </row>
    <row r="46" ht="24.75" spans="1:11">
      <c r="A46" s="2"/>
      <c r="B46" s="7">
        <f t="shared" si="0"/>
        <v>44</v>
      </c>
      <c r="C46" s="13" t="s">
        <v>191</v>
      </c>
      <c r="D46" s="11" t="s">
        <v>212</v>
      </c>
      <c r="E46" s="12" t="s">
        <v>213</v>
      </c>
      <c r="F46" s="11" t="s">
        <v>214</v>
      </c>
      <c r="G46" s="12" t="s">
        <v>215</v>
      </c>
      <c r="H46" s="11" t="s">
        <v>46</v>
      </c>
      <c r="I46" s="12" t="s">
        <v>206</v>
      </c>
      <c r="J46" s="11">
        <v>12</v>
      </c>
      <c r="K46" s="11"/>
    </row>
    <row r="47" ht="15.75" spans="1:11">
      <c r="A47" s="2"/>
      <c r="B47" s="7">
        <f t="shared" si="0"/>
        <v>45</v>
      </c>
      <c r="C47" s="8" t="s">
        <v>191</v>
      </c>
      <c r="D47" s="9" t="s">
        <v>216</v>
      </c>
      <c r="E47" s="10" t="s">
        <v>217</v>
      </c>
      <c r="F47" s="9" t="s">
        <v>214</v>
      </c>
      <c r="G47" s="10" t="s">
        <v>218</v>
      </c>
      <c r="H47" s="9" t="s">
        <v>46</v>
      </c>
      <c r="I47" s="10" t="s">
        <v>219</v>
      </c>
      <c r="J47" s="9">
        <v>1</v>
      </c>
      <c r="K47" s="9"/>
    </row>
    <row r="48" ht="36.75" spans="1:11">
      <c r="A48" s="2"/>
      <c r="B48" s="7">
        <f t="shared" si="0"/>
        <v>46</v>
      </c>
      <c r="C48" s="13" t="s">
        <v>191</v>
      </c>
      <c r="D48" s="11" t="s">
        <v>220</v>
      </c>
      <c r="E48" s="10" t="s">
        <v>221</v>
      </c>
      <c r="F48" s="11" t="s">
        <v>214</v>
      </c>
      <c r="G48" s="10" t="s">
        <v>222</v>
      </c>
      <c r="H48" s="9" t="s">
        <v>114</v>
      </c>
      <c r="I48" s="12" t="s">
        <v>223</v>
      </c>
      <c r="J48" s="11">
        <v>3</v>
      </c>
      <c r="K48" s="11"/>
    </row>
    <row r="49" ht="15.75" spans="1:11">
      <c r="A49" s="2"/>
      <c r="B49" s="7">
        <f t="shared" si="0"/>
        <v>47</v>
      </c>
      <c r="C49" s="8" t="s">
        <v>191</v>
      </c>
      <c r="D49" s="9" t="s">
        <v>224</v>
      </c>
      <c r="E49" s="10" t="s">
        <v>225</v>
      </c>
      <c r="F49" s="9" t="s">
        <v>194</v>
      </c>
      <c r="G49" s="10" t="s">
        <v>226</v>
      </c>
      <c r="H49" s="9" t="s">
        <v>227</v>
      </c>
      <c r="I49" s="10" t="s">
        <v>228</v>
      </c>
      <c r="J49" s="9">
        <v>1</v>
      </c>
      <c r="K49" s="9"/>
    </row>
    <row r="50" ht="15.75" spans="1:11">
      <c r="A50" s="2"/>
      <c r="B50" s="7">
        <f t="shared" si="0"/>
        <v>48</v>
      </c>
      <c r="C50" s="13" t="s">
        <v>191</v>
      </c>
      <c r="D50" s="11" t="s">
        <v>229</v>
      </c>
      <c r="E50" s="12" t="s">
        <v>230</v>
      </c>
      <c r="F50" s="11" t="s">
        <v>214</v>
      </c>
      <c r="G50" s="12" t="s">
        <v>231</v>
      </c>
      <c r="H50" s="11" t="s">
        <v>46</v>
      </c>
      <c r="I50" s="12" t="s">
        <v>232</v>
      </c>
      <c r="J50" s="11">
        <v>2</v>
      </c>
      <c r="K50" s="11"/>
    </row>
    <row r="51" ht="36.75" spans="1:11">
      <c r="A51" s="2"/>
      <c r="B51" s="7">
        <f t="shared" si="0"/>
        <v>49</v>
      </c>
      <c r="C51" s="8" t="s">
        <v>191</v>
      </c>
      <c r="D51" s="9" t="s">
        <v>233</v>
      </c>
      <c r="E51" s="10" t="s">
        <v>234</v>
      </c>
      <c r="F51" s="9" t="s">
        <v>214</v>
      </c>
      <c r="G51" s="10" t="s">
        <v>235</v>
      </c>
      <c r="H51" s="9" t="s">
        <v>236</v>
      </c>
      <c r="I51" s="10" t="s">
        <v>232</v>
      </c>
      <c r="J51" s="9">
        <v>1</v>
      </c>
      <c r="K51" s="9"/>
    </row>
    <row r="52" ht="15.75" spans="1:11">
      <c r="A52" s="2"/>
      <c r="B52" s="7">
        <f t="shared" si="0"/>
        <v>50</v>
      </c>
      <c r="C52" s="13" t="s">
        <v>191</v>
      </c>
      <c r="D52" s="14" t="s">
        <v>237</v>
      </c>
      <c r="E52" s="15" t="s">
        <v>230</v>
      </c>
      <c r="F52" s="14" t="s">
        <v>214</v>
      </c>
      <c r="G52" s="15" t="s">
        <v>231</v>
      </c>
      <c r="H52" s="14" t="s">
        <v>46</v>
      </c>
      <c r="I52" s="15" t="s">
        <v>97</v>
      </c>
      <c r="J52" s="14">
        <v>1</v>
      </c>
      <c r="K52" s="14"/>
    </row>
    <row r="53" ht="15.75" spans="1:11">
      <c r="A53" s="2"/>
      <c r="B53" s="7">
        <f t="shared" si="0"/>
        <v>51</v>
      </c>
      <c r="C53" s="8" t="s">
        <v>191</v>
      </c>
      <c r="D53" s="9" t="s">
        <v>238</v>
      </c>
      <c r="E53" s="10" t="s">
        <v>239</v>
      </c>
      <c r="F53" s="9" t="s">
        <v>214</v>
      </c>
      <c r="G53" s="10" t="s">
        <v>240</v>
      </c>
      <c r="H53" s="9" t="s">
        <v>46</v>
      </c>
      <c r="I53" s="10" t="s">
        <v>241</v>
      </c>
      <c r="J53" s="9">
        <v>1</v>
      </c>
      <c r="K53" s="9"/>
    </row>
    <row r="54" ht="15.75" spans="1:11">
      <c r="A54" s="2"/>
      <c r="B54" s="7">
        <v>52</v>
      </c>
      <c r="C54" s="8" t="s">
        <v>191</v>
      </c>
      <c r="D54" s="9" t="s">
        <v>242</v>
      </c>
      <c r="E54" s="10" t="s">
        <v>243</v>
      </c>
      <c r="F54" s="9" t="s">
        <v>244</v>
      </c>
      <c r="G54" s="12" t="s">
        <v>245</v>
      </c>
      <c r="H54" s="11" t="s">
        <v>46</v>
      </c>
      <c r="I54" s="12" t="s">
        <v>246</v>
      </c>
      <c r="J54" s="11">
        <v>2</v>
      </c>
      <c r="K54" s="9"/>
    </row>
    <row r="55" ht="15.75" spans="1:11">
      <c r="A55" s="2"/>
      <c r="B55" s="7">
        <f t="shared" si="0"/>
        <v>53</v>
      </c>
      <c r="C55" s="13" t="s">
        <v>191</v>
      </c>
      <c r="D55" s="11" t="s">
        <v>247</v>
      </c>
      <c r="E55" s="12" t="s">
        <v>248</v>
      </c>
      <c r="F55" s="11" t="s">
        <v>214</v>
      </c>
      <c r="G55" s="12" t="s">
        <v>249</v>
      </c>
      <c r="H55" s="11" t="s">
        <v>46</v>
      </c>
      <c r="I55" s="12" t="s">
        <v>250</v>
      </c>
      <c r="J55" s="11">
        <v>1</v>
      </c>
      <c r="K55" s="11"/>
    </row>
    <row r="56" ht="15.75" spans="1:11">
      <c r="A56" s="2"/>
      <c r="B56" s="7">
        <f t="shared" si="0"/>
        <v>54</v>
      </c>
      <c r="C56" s="8" t="s">
        <v>191</v>
      </c>
      <c r="D56" s="9" t="s">
        <v>251</v>
      </c>
      <c r="E56" s="10" t="s">
        <v>252</v>
      </c>
      <c r="F56" s="9" t="s">
        <v>214</v>
      </c>
      <c r="G56" s="10" t="s">
        <v>253</v>
      </c>
      <c r="H56" s="9" t="s">
        <v>46</v>
      </c>
      <c r="I56" s="10" t="s">
        <v>254</v>
      </c>
      <c r="J56" s="9">
        <v>1</v>
      </c>
      <c r="K56" s="9"/>
    </row>
    <row r="57" spans="1:11">
      <c r="A57" s="2"/>
      <c r="B57" s="7">
        <f t="shared" si="0"/>
        <v>55</v>
      </c>
      <c r="C57" s="13" t="s">
        <v>191</v>
      </c>
      <c r="D57" s="11" t="s">
        <v>255</v>
      </c>
      <c r="E57" s="12" t="s">
        <v>256</v>
      </c>
      <c r="F57" s="11" t="s">
        <v>214</v>
      </c>
      <c r="G57" s="12" t="s">
        <v>257</v>
      </c>
      <c r="H57" s="11" t="s">
        <v>227</v>
      </c>
      <c r="I57" s="12" t="s">
        <v>258</v>
      </c>
      <c r="J57" s="11">
        <v>1</v>
      </c>
      <c r="K57" s="11"/>
    </row>
    <row r="58" spans="1:11">
      <c r="A58" s="2"/>
      <c r="B58" s="7">
        <f t="shared" si="0"/>
        <v>56</v>
      </c>
      <c r="C58" s="8" t="s">
        <v>259</v>
      </c>
      <c r="D58" s="9" t="s">
        <v>260</v>
      </c>
      <c r="E58" s="10" t="s">
        <v>261</v>
      </c>
      <c r="F58" s="11" t="s">
        <v>13</v>
      </c>
      <c r="G58" s="10" t="s">
        <v>262</v>
      </c>
      <c r="H58" s="9" t="s">
        <v>263</v>
      </c>
      <c r="I58" s="10" t="s">
        <v>16</v>
      </c>
      <c r="J58" s="9">
        <v>1</v>
      </c>
      <c r="K58" s="9"/>
    </row>
    <row r="59" ht="36.75" spans="1:11">
      <c r="A59" s="2"/>
      <c r="B59" s="7">
        <f t="shared" si="0"/>
        <v>57</v>
      </c>
      <c r="C59" s="13" t="s">
        <v>264</v>
      </c>
      <c r="D59" s="11" t="s">
        <v>265</v>
      </c>
      <c r="E59" s="12" t="s">
        <v>266</v>
      </c>
      <c r="F59" s="11" t="s">
        <v>13</v>
      </c>
      <c r="G59" s="12" t="s">
        <v>267</v>
      </c>
      <c r="H59" s="11" t="s">
        <v>268</v>
      </c>
      <c r="I59" s="10" t="s">
        <v>16</v>
      </c>
      <c r="J59" s="11">
        <v>4</v>
      </c>
      <c r="K59" s="11"/>
    </row>
    <row r="60" ht="48.75" spans="1:11">
      <c r="A60" s="2"/>
      <c r="B60" s="7">
        <f>ROW(B60)-ROW($B$2)</f>
        <v>58</v>
      </c>
      <c r="C60" s="13" t="s">
        <v>264</v>
      </c>
      <c r="D60" s="16" t="s">
        <v>269</v>
      </c>
      <c r="E60" s="17" t="s">
        <v>270</v>
      </c>
      <c r="F60" s="11" t="s">
        <v>13</v>
      </c>
      <c r="G60" s="17" t="s">
        <v>271</v>
      </c>
      <c r="H60" s="16" t="s">
        <v>272</v>
      </c>
      <c r="I60" s="19" t="s">
        <v>16</v>
      </c>
      <c r="J60" s="16">
        <v>1</v>
      </c>
      <c r="K60" s="16"/>
    </row>
    <row r="61" ht="15.75" spans="1:11">
      <c r="A61" s="2"/>
      <c r="B61" s="7">
        <f>ROW(B61)-ROW($B$2)</f>
        <v>59</v>
      </c>
      <c r="C61" s="8" t="s">
        <v>273</v>
      </c>
      <c r="D61" s="9" t="s">
        <v>274</v>
      </c>
      <c r="E61" s="10" t="s">
        <v>275</v>
      </c>
      <c r="F61" s="11" t="s">
        <v>13</v>
      </c>
      <c r="G61" s="10" t="s">
        <v>276</v>
      </c>
      <c r="H61" s="9" t="s">
        <v>277</v>
      </c>
      <c r="I61" s="10" t="s">
        <v>16</v>
      </c>
      <c r="J61" s="9">
        <v>1</v>
      </c>
      <c r="K61" s="9"/>
    </row>
    <row r="62" spans="1:11">
      <c r="A62" s="2"/>
      <c r="B62" s="7">
        <f>ROW(B62)-ROW($B$2)</f>
        <v>60</v>
      </c>
      <c r="C62" s="13" t="s">
        <v>278</v>
      </c>
      <c r="D62" s="11" t="s">
        <v>279</v>
      </c>
      <c r="E62" s="12" t="s">
        <v>280</v>
      </c>
      <c r="F62" s="11" t="s">
        <v>13</v>
      </c>
      <c r="G62" s="12" t="s">
        <v>281</v>
      </c>
      <c r="H62" s="11"/>
      <c r="I62" s="10" t="s">
        <v>16</v>
      </c>
      <c r="J62" s="11">
        <v>1</v>
      </c>
      <c r="K62" s="11"/>
    </row>
    <row r="63" ht="15.75" spans="1:11">
      <c r="A63" s="2"/>
      <c r="B63" s="7">
        <f>ROW(B63)-ROW($B$2)</f>
        <v>61</v>
      </c>
      <c r="C63" s="8" t="s">
        <v>282</v>
      </c>
      <c r="D63" s="9" t="s">
        <v>283</v>
      </c>
      <c r="E63" s="10" t="s">
        <v>284</v>
      </c>
      <c r="F63" s="11" t="s">
        <v>13</v>
      </c>
      <c r="G63" s="10" t="s">
        <v>285</v>
      </c>
      <c r="H63" s="9" t="s">
        <v>286</v>
      </c>
      <c r="I63" s="10" t="s">
        <v>16</v>
      </c>
      <c r="J63" s="9">
        <v>1</v>
      </c>
      <c r="K63" s="9"/>
    </row>
    <row r="64" ht="15.75" spans="1:11">
      <c r="A64" s="2"/>
      <c r="B64" s="7">
        <f>ROW(B64)-ROW($B$2)</f>
        <v>62</v>
      </c>
      <c r="C64" s="13" t="s">
        <v>287</v>
      </c>
      <c r="D64" s="11" t="s">
        <v>288</v>
      </c>
      <c r="E64" s="12" t="s">
        <v>289</v>
      </c>
      <c r="F64" s="11" t="s">
        <v>290</v>
      </c>
      <c r="G64" s="12" t="s">
        <v>291</v>
      </c>
      <c r="H64" s="11" t="s">
        <v>292</v>
      </c>
      <c r="I64" s="10" t="s">
        <v>16</v>
      </c>
      <c r="J64" s="11">
        <v>2</v>
      </c>
      <c r="K64" s="11"/>
    </row>
    <row r="65" ht="24.75" spans="1:11">
      <c r="A65" s="2"/>
      <c r="B65" s="7">
        <f>ROW(B65)-ROW($B$2)</f>
        <v>63</v>
      </c>
      <c r="C65" s="8" t="s">
        <v>287</v>
      </c>
      <c r="D65" s="9" t="s">
        <v>293</v>
      </c>
      <c r="E65" s="10" t="s">
        <v>294</v>
      </c>
      <c r="F65" s="11" t="s">
        <v>13</v>
      </c>
      <c r="G65" s="10" t="s">
        <v>295</v>
      </c>
      <c r="H65" s="9" t="s">
        <v>296</v>
      </c>
      <c r="I65" s="10" t="s">
        <v>16</v>
      </c>
      <c r="J65" s="9">
        <v>1</v>
      </c>
      <c r="K65" s="9"/>
    </row>
    <row r="66" ht="36.75" spans="1:11">
      <c r="A66" s="2"/>
      <c r="B66" s="7">
        <f>ROW(B66)-ROW($B$2)</f>
        <v>64</v>
      </c>
      <c r="C66" s="8" t="s">
        <v>287</v>
      </c>
      <c r="D66" s="11" t="s">
        <v>297</v>
      </c>
      <c r="E66" s="12" t="s">
        <v>298</v>
      </c>
      <c r="F66" s="11" t="s">
        <v>299</v>
      </c>
      <c r="G66" s="12" t="s">
        <v>300</v>
      </c>
      <c r="H66" s="11" t="s">
        <v>292</v>
      </c>
      <c r="I66" s="10" t="s">
        <v>16</v>
      </c>
      <c r="J66" s="11">
        <v>1</v>
      </c>
      <c r="K66" s="11"/>
    </row>
    <row r="67" ht="15.75" spans="1:11">
      <c r="A67" s="2"/>
      <c r="B67" s="7">
        <f>ROW(B67)-ROW($B$2)</f>
        <v>65</v>
      </c>
      <c r="C67" s="8" t="s">
        <v>287</v>
      </c>
      <c r="D67" s="9" t="s">
        <v>301</v>
      </c>
      <c r="E67" s="10" t="s">
        <v>302</v>
      </c>
      <c r="F67" s="9" t="s">
        <v>303</v>
      </c>
      <c r="G67" s="10" t="s">
        <v>304</v>
      </c>
      <c r="H67" s="9" t="s">
        <v>305</v>
      </c>
      <c r="I67" s="10" t="s">
        <v>16</v>
      </c>
      <c r="J67" s="9">
        <v>1</v>
      </c>
      <c r="K67" s="9"/>
    </row>
    <row r="68" ht="24.75" spans="1:11">
      <c r="A68" s="2"/>
      <c r="B68" s="7">
        <f>ROW(B68)-ROW($B$2)</f>
        <v>66</v>
      </c>
      <c r="C68" s="13" t="s">
        <v>287</v>
      </c>
      <c r="D68" s="11" t="s">
        <v>306</v>
      </c>
      <c r="E68" s="12" t="s">
        <v>307</v>
      </c>
      <c r="F68" s="11" t="s">
        <v>290</v>
      </c>
      <c r="G68" s="12" t="s">
        <v>308</v>
      </c>
      <c r="H68" s="11" t="s">
        <v>309</v>
      </c>
      <c r="I68" s="10" t="s">
        <v>16</v>
      </c>
      <c r="J68" s="11">
        <v>1</v>
      </c>
      <c r="K68" s="11"/>
    </row>
    <row r="69" ht="24.75" spans="1:11">
      <c r="A69" s="2"/>
      <c r="B69" s="7">
        <f>ROW(B69)-ROW($B$2)</f>
        <v>67</v>
      </c>
      <c r="C69" s="8" t="s">
        <v>310</v>
      </c>
      <c r="D69" s="9" t="s">
        <v>311</v>
      </c>
      <c r="E69" s="10" t="s">
        <v>312</v>
      </c>
      <c r="F69" s="9" t="s">
        <v>313</v>
      </c>
      <c r="G69" s="10" t="s">
        <v>314</v>
      </c>
      <c r="H69" s="9" t="s">
        <v>315</v>
      </c>
      <c r="I69" s="10" t="s">
        <v>316</v>
      </c>
      <c r="J69" s="9">
        <v>1</v>
      </c>
      <c r="K69" s="9"/>
    </row>
    <row r="70" ht="24.75" spans="1:11">
      <c r="A70" s="2"/>
      <c r="B70" s="7">
        <f>ROW(B70)-ROW($B$2)</f>
        <v>68</v>
      </c>
      <c r="C70" s="13" t="s">
        <v>310</v>
      </c>
      <c r="D70" s="11" t="s">
        <v>317</v>
      </c>
      <c r="E70" s="12" t="s">
        <v>318</v>
      </c>
      <c r="F70" s="11" t="s">
        <v>319</v>
      </c>
      <c r="G70" s="12" t="s">
        <v>320</v>
      </c>
      <c r="H70" s="11" t="s">
        <v>321</v>
      </c>
      <c r="I70" s="12" t="s">
        <v>322</v>
      </c>
      <c r="J70" s="11">
        <v>1</v>
      </c>
      <c r="K70" s="11"/>
    </row>
    <row r="71" ht="15.75" spans="1:11">
      <c r="A71" s="2"/>
      <c r="B71" s="7">
        <f>ROW(B71)-ROW($B$2)</f>
        <v>69</v>
      </c>
      <c r="C71" s="13" t="s">
        <v>310</v>
      </c>
      <c r="D71" s="14" t="s">
        <v>323</v>
      </c>
      <c r="E71" s="15" t="s">
        <v>324</v>
      </c>
      <c r="F71" s="14" t="s">
        <v>325</v>
      </c>
      <c r="G71" s="15" t="s">
        <v>326</v>
      </c>
      <c r="H71" s="14" t="s">
        <v>327</v>
      </c>
      <c r="I71" s="15" t="s">
        <v>97</v>
      </c>
      <c r="J71" s="14">
        <v>1</v>
      </c>
      <c r="K71" s="14"/>
    </row>
    <row r="72" ht="48.75" spans="2:11">
      <c r="B72" s="7">
        <f>ROW(B72)-ROW($B$2)</f>
        <v>70</v>
      </c>
      <c r="C72" s="13" t="s">
        <v>328</v>
      </c>
      <c r="D72" s="11" t="s">
        <v>16</v>
      </c>
      <c r="E72" s="12" t="s">
        <v>329</v>
      </c>
      <c r="F72" s="11" t="s">
        <v>16</v>
      </c>
      <c r="G72" s="12" t="s">
        <v>330</v>
      </c>
      <c r="H72" s="11" t="s">
        <v>16</v>
      </c>
      <c r="I72" s="12" t="s">
        <v>16</v>
      </c>
      <c r="J72" s="11">
        <v>1</v>
      </c>
      <c r="K72" s="20" t="s">
        <v>331</v>
      </c>
    </row>
  </sheetData>
  <mergeCells count="1">
    <mergeCell ref="I1:K1"/>
  </mergeCells>
  <hyperlinks>
    <hyperlink ref="K72" r:id="rId1" display="AliExpress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2024-10-07T08:08:44Z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A02FE33419FA4A4284833673DC216563_12</vt:lpwstr>
  </property>
  <property fmtid="{D5CDD505-2E9C-101B-9397-08002B2CF9AE}" pid="3" name="KSOProductBuildVer">
    <vt:lpwstr>1033-12.2.0.18165</vt:lpwstr>
  </property>
</Properties>
</file>