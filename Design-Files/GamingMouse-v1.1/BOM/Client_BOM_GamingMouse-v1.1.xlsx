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ustingunniers-gamingmouse\Design-Files\GamingMouse-v1.1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70" i="1" l="1"/>
  <c r="B69" i="1" l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<sst xmlns="http://schemas.openxmlformats.org/spreadsheetml/2006/main" count="479" uniqueCount="321">
  <si>
    <t>#</t>
  </si>
  <si>
    <t>Item Type</t>
  </si>
  <si>
    <t>Antenna</t>
  </si>
  <si>
    <t>Capacitor</t>
  </si>
  <si>
    <t>Diode</t>
  </si>
  <si>
    <t>Ferrite Bead</t>
  </si>
  <si>
    <t>Spring Compression Contact</t>
  </si>
  <si>
    <t>Male Header</t>
  </si>
  <si>
    <t>Inductors</t>
  </si>
  <si>
    <t>Inductor</t>
  </si>
  <si>
    <t>LED</t>
  </si>
  <si>
    <t>RGB LED</t>
  </si>
  <si>
    <t>Test Point</t>
  </si>
  <si>
    <t>Mosfet</t>
  </si>
  <si>
    <t>Resistor</t>
  </si>
  <si>
    <t>Slide Switche</t>
  </si>
  <si>
    <t>Mouse Micro Switch</t>
  </si>
  <si>
    <t>Tactile Switch</t>
  </si>
  <si>
    <t>Switch</t>
  </si>
  <si>
    <t>IC</t>
  </si>
  <si>
    <t>Crystal</t>
  </si>
  <si>
    <t>Designator</t>
  </si>
  <si>
    <t>ANT1</t>
  </si>
  <si>
    <t>C1, C6, C8</t>
  </si>
  <si>
    <t>C2, C9</t>
  </si>
  <si>
    <t>C3, C4, C10, C11, C34, C36</t>
  </si>
  <si>
    <t>C5</t>
  </si>
  <si>
    <t>C7</t>
  </si>
  <si>
    <t>C12</t>
  </si>
  <si>
    <t>C13</t>
  </si>
  <si>
    <t>C14</t>
  </si>
  <si>
    <t>C15</t>
  </si>
  <si>
    <t>C16</t>
  </si>
  <si>
    <t>C17</t>
  </si>
  <si>
    <t>C18, C28, C29, C32</t>
  </si>
  <si>
    <t>C19</t>
  </si>
  <si>
    <t>C20</t>
  </si>
  <si>
    <t>C21, C22, C23, C24, C25, C30, C37</t>
  </si>
  <si>
    <t>C26</t>
  </si>
  <si>
    <t>C27</t>
  </si>
  <si>
    <t>C31, C33</t>
  </si>
  <si>
    <t>C35</t>
  </si>
  <si>
    <t>C38</t>
  </si>
  <si>
    <t>C39</t>
  </si>
  <si>
    <t>D1</t>
  </si>
  <si>
    <t>FB1, FB2, FB3</t>
  </si>
  <si>
    <t>J1</t>
  </si>
  <si>
    <t>J2</t>
  </si>
  <si>
    <t>J3</t>
  </si>
  <si>
    <t>L1</t>
  </si>
  <si>
    <t>L2</t>
  </si>
  <si>
    <t>L3</t>
  </si>
  <si>
    <t>L4</t>
  </si>
  <si>
    <t>LED1</t>
  </si>
  <si>
    <t>LED2</t>
  </si>
  <si>
    <t>LED3</t>
  </si>
  <si>
    <t>LED4</t>
  </si>
  <si>
    <t>P3, P4, P5, P6</t>
  </si>
  <si>
    <t>Q1</t>
  </si>
  <si>
    <t>Q2</t>
  </si>
  <si>
    <t>Q3</t>
  </si>
  <si>
    <t>R1</t>
  </si>
  <si>
    <t>R2, R8</t>
  </si>
  <si>
    <t>R3</t>
  </si>
  <si>
    <t>R4</t>
  </si>
  <si>
    <t>R5, R6, R17, R18, R19, R20, R23, R24, R25, R26, R34, R35</t>
  </si>
  <si>
    <t>R7</t>
  </si>
  <si>
    <t>R9, R10, R11, R27, R29</t>
  </si>
  <si>
    <t>R12</t>
  </si>
  <si>
    <t>R13, R14</t>
  </si>
  <si>
    <t>R15</t>
  </si>
  <si>
    <t>R16</t>
  </si>
  <si>
    <t>R21</t>
  </si>
  <si>
    <t>R28</t>
  </si>
  <si>
    <t>R30</t>
  </si>
  <si>
    <t>R31</t>
  </si>
  <si>
    <t>Slide Switch1</t>
  </si>
  <si>
    <t>SW1, SW2, SW3, SW6, SW7</t>
  </si>
  <si>
    <t>SW4</t>
  </si>
  <si>
    <t>SW5</t>
  </si>
  <si>
    <t>SW8</t>
  </si>
  <si>
    <t>U1, U3</t>
  </si>
  <si>
    <t>U2</t>
  </si>
  <si>
    <t>U4</t>
  </si>
  <si>
    <t>U5</t>
  </si>
  <si>
    <t>U6</t>
  </si>
  <si>
    <t>X1</t>
  </si>
  <si>
    <t>X2</t>
  </si>
  <si>
    <t>X3</t>
  </si>
  <si>
    <t>Description</t>
  </si>
  <si>
    <t>RF ANT 2.4GHZ CHIP SOLDER SMD</t>
  </si>
  <si>
    <t>CAP CER 0.1UF 25V X6S 0201</t>
  </si>
  <si>
    <t>CAP CER 10UF 10V X5R 0402</t>
  </si>
  <si>
    <t>CAP CER 10UF 25V X5R 0603</t>
  </si>
  <si>
    <t>CAP CER, 4.7 µF, 25 V, 0603</t>
  </si>
  <si>
    <t>10V 33uF X5R ±20% 0805 Multilayer Ceramic Capacitors MLCC - SMD/SMT ROHS</t>
  </si>
  <si>
    <t>CAP CER 10000PF 50V X7R 0402</t>
  </si>
  <si>
    <t>CAP CER 1000PF 25V X7R 0402</t>
  </si>
  <si>
    <t>CAP CER 4.7PF 50V C0G/NPO 0402</t>
  </si>
  <si>
    <t>CAP CER 2.2nF 50V X7R ±5% 0402 MLCC - SMD/SMT ROHS</t>
  </si>
  <si>
    <t>CAP CER 1.5PF 50V C0G/NPO 0402</t>
  </si>
  <si>
    <t>CAP CER 1PF 50V C0G/NPO 0402</t>
  </si>
  <si>
    <t>CAP CER 22PF 50V C0G/NPO 0402</t>
  </si>
  <si>
    <t>CAP CER 10000PF 25V X7R 0402</t>
  </si>
  <si>
    <t>CAP CER 1UF 25V X5R 0402</t>
  </si>
  <si>
    <t>CAP CER 0.1UF 50V X5R 0402</t>
  </si>
  <si>
    <t>16V 4.7uF ±20% 0402 Multilayer Ceramic Capacitors</t>
  </si>
  <si>
    <t>10V 33nF ±10% 0201 Multilayer Ceramic Capacitors MLCC - SMD/SMT ROHS</t>
  </si>
  <si>
    <t>50V 8pF C0G 0402 Multilayer Ceramic Capacitors MLCC - SMD/SMT ROHS</t>
  </si>
  <si>
    <t>CAP CER 4.7UF 16V X5R 0603</t>
  </si>
  <si>
    <t>CAP CER 0.8PF 25V C0G/NP0 0201</t>
  </si>
  <si>
    <t>CAP CER 6.2PF 50V C0G/NP0 0201</t>
  </si>
  <si>
    <t>DIODE SCHOTTKY 30V 4A DO214AA</t>
  </si>
  <si>
    <t>FERRITE BEAD 1 OHM 0402 1LN</t>
  </si>
  <si>
    <t>.100" RIGHT-ANGLE ONE-PIECE INTE</t>
  </si>
  <si>
    <t>PIN HEADER 2.54MM PITCH STR DIP,</t>
  </si>
  <si>
    <t>CONN HEADER VERT 3POS 2.54MM</t>
  </si>
  <si>
    <t>640mA 2.7nH ±5% 120mΩ 0402 Inductors (SMD) ROHS</t>
  </si>
  <si>
    <t>FIXED IND 8.2NH 550MA 240MOHM SM</t>
  </si>
  <si>
    <t>840mA 3.9nH ±5% 66mΩ 0402 Inductors (SMD) ROHS</t>
  </si>
  <si>
    <t>FIXED IND 4.7UH 2A 98 MOHM SMD</t>
  </si>
  <si>
    <t>Emerald 0603 Light Emitting Diodes (LED) ROHS</t>
  </si>
  <si>
    <t>RED LED 0603 Light Emitting Diodes</t>
  </si>
  <si>
    <t>White light 0603 Light Emitting Diodes (LED) ROHS</t>
  </si>
  <si>
    <t>5mA -40℃~+80℃ RGB SMD,2x2mm Light Emitting Diodes (LED) ROHS</t>
  </si>
  <si>
    <t>Test Point ON</t>
  </si>
  <si>
    <t>N-CHANNEL 20-V (D-S) MOSFET</t>
  </si>
  <si>
    <t>30V 4.1A 60mΩ@10V,4.1A 350mW 3V@250uA P Channel SOT-23 MOSFETs ROHS</t>
  </si>
  <si>
    <t>40V 100mW 100@10mA,1V 200mA 300MHz 300mV@50mA,5mA NPN -55℃~+150℃@(Tj) SOT-723 Bipolar Transistors - BJT ROHS</t>
  </si>
  <si>
    <t>±0.1% 2.5kΩ 0603 Chip Resistor - Surface Mount ROHS</t>
  </si>
  <si>
    <t>RES 3.9K OHM 1% 1/10W 0603</t>
  </si>
  <si>
    <t>RES SMD 10K OHM 1% 1/20W 0201</t>
  </si>
  <si>
    <t>50mW Thick Film Resistors ±5% 5.6Ω 0201 Chip Resistor - Surface Mount ROHS</t>
  </si>
  <si>
    <t>RES 10K OHM 1% 1/16W 0402</t>
  </si>
  <si>
    <t>RES 6.8K OHM 1% 1/16W 0402</t>
  </si>
  <si>
    <t>RES 1K OHM 1% 1/16W 0402</t>
  </si>
  <si>
    <t>RES SMD 22K OHM 1% 1/10W 0603</t>
  </si>
  <si>
    <t>RES SMD 1M OHM 5% 1/16W 0402</t>
  </si>
  <si>
    <t>Res Thick Film 0402 1M Ohm 1% 0.1W(1/10W) ±100ppm/C Pad SMD Automotive T/R</t>
  </si>
  <si>
    <t>RES 309K OHM 1% 1/16W 0402</t>
  </si>
  <si>
    <t>RES 120K OHM 1% 1/16W 0402</t>
  </si>
  <si>
    <t>RES 4.7K OHM 1% 1/16W 0402</t>
  </si>
  <si>
    <t>RES 330K OHM 1% 1/16W 0402</t>
  </si>
  <si>
    <t>SWITCH SLIDE SPDT 200MA 12V</t>
  </si>
  <si>
    <t>Mouse Micro Switch Micro Button Gold Contactor 80 Million Click Life 3 Pin Black Dot</t>
  </si>
  <si>
    <t>Plugin Tactile Switches ROHS</t>
  </si>
  <si>
    <t>ROTARY ENCODER MECHANICAL</t>
  </si>
  <si>
    <t>SWITCH TACTILE SPST-NO 0.05A 12V</t>
  </si>
  <si>
    <t>IC REG LIN POS ADJ 200MA SOT23-5</t>
  </si>
  <si>
    <t>Mouse Sensor Optical Gaming Navigation Chip DIP-16</t>
  </si>
  <si>
    <t>ARM Cortex-M3 STM32 F1 Microcontroller 32-Bit 72MHz 64kB FLASH LQFP48 STM32F103C8T6</t>
  </si>
  <si>
    <t>IC RF TXRX ISM&gt;1GHZ 20VFQFN</t>
  </si>
  <si>
    <t>boost converterType 28V 2.5V~5.5V 1.5A SOT-23-5 DC-DC Converters ROHS</t>
  </si>
  <si>
    <t>16MHz 贴片晶振 12pF ±10ppm ±50ppm SMD3225-4P Crystals ROHS</t>
  </si>
  <si>
    <t>5032 2-SMD 8MHz 18pF ±20ppm -40°C~85°C</t>
  </si>
  <si>
    <t>Crystal 32.768KHZ 6.0PF SMD</t>
  </si>
  <si>
    <t>Footprint</t>
  </si>
  <si>
    <t>ANT016008LCS2442MA1</t>
  </si>
  <si>
    <t>CAP-0201</t>
  </si>
  <si>
    <t>Cap-0402</t>
  </si>
  <si>
    <t>Cap-0603</t>
  </si>
  <si>
    <t>Cap-0805</t>
  </si>
  <si>
    <t>SMB_</t>
  </si>
  <si>
    <t>IND-0402</t>
  </si>
  <si>
    <t>SIR1-03-S-S-K</t>
  </si>
  <si>
    <t>HDR 2x2</t>
  </si>
  <si>
    <t>HDR1X3_</t>
  </si>
  <si>
    <t>IND-1210</t>
  </si>
  <si>
    <t>LED-0603</t>
  </si>
  <si>
    <t>SK6812-EC20</t>
  </si>
  <si>
    <t>Test-point - 0.5mm</t>
  </si>
  <si>
    <t>Sot-23</t>
  </si>
  <si>
    <t>SOT-23</t>
  </si>
  <si>
    <t>SOT-723</t>
  </si>
  <si>
    <t>Res-0603</t>
  </si>
  <si>
    <t>Res-0201</t>
  </si>
  <si>
    <t>Res-0402</t>
  </si>
  <si>
    <t>CL-SB-12B-02T</t>
  </si>
  <si>
    <t>Kailh GM 8.0</t>
  </si>
  <si>
    <t>CMI629501D01</t>
  </si>
  <si>
    <t>E203-13G3-2412-00</t>
  </si>
  <si>
    <t>B3U-1000P</t>
  </si>
  <si>
    <t>SOT-23-5</t>
  </si>
  <si>
    <t>PAW3395DM</t>
  </si>
  <si>
    <t>48-LQFP (7x7)_</t>
  </si>
  <si>
    <t>20-QFN (4x4)</t>
  </si>
  <si>
    <t>SMD3225-4P</t>
  </si>
  <si>
    <t>SMD5032-2P</t>
  </si>
  <si>
    <t>2-SMD, (2.00mm x 1.20mm)</t>
  </si>
  <si>
    <t>Manufacturer Part Number</t>
  </si>
  <si>
    <t>GRM033C81E104KE14D</t>
  </si>
  <si>
    <t>CL05A106MP5NUNC</t>
  </si>
  <si>
    <t>C1608X5R1E106M080AC</t>
  </si>
  <si>
    <t>C1608X5R1E475KT000E</t>
  </si>
  <si>
    <t>C2012X5R1A336MTJ00E</t>
  </si>
  <si>
    <t>CC0402KRX7R9BB103</t>
  </si>
  <si>
    <t>CC0402KRX7R8BB102</t>
  </si>
  <si>
    <t>CC0402BRNPO9BN4R7</t>
  </si>
  <si>
    <t>04025C222JAT2A</t>
  </si>
  <si>
    <t>CC0402BRNPO9BN1R5</t>
  </si>
  <si>
    <t>CC0402BRNPO9BN1R0</t>
  </si>
  <si>
    <t>CC0402JRNPO9BN220</t>
  </si>
  <si>
    <t>CC0402KRX7R8BB103</t>
  </si>
  <si>
    <t>CC0402KRX5R8BB105</t>
  </si>
  <si>
    <t>C1005X5R1H104K050BB</t>
  </si>
  <si>
    <t>EDK105BBJ475MVLF</t>
  </si>
  <si>
    <t>FN03B333K100PLG</t>
  </si>
  <si>
    <t>0402CG8R0C500NT</t>
  </si>
  <si>
    <t>CC0603KRX5R7BB475</t>
  </si>
  <si>
    <t>CC0201BRNPO8BNR80</t>
  </si>
  <si>
    <t>CC0201BRNPO9BN6R2</t>
  </si>
  <si>
    <t>SSB43L-E3/52T</t>
  </si>
  <si>
    <t>MFBM1V1005-102-R</t>
  </si>
  <si>
    <t>G800LQ594032HR</t>
  </si>
  <si>
    <t>CS0402-2N7J-S</t>
  </si>
  <si>
    <t>LQG15HS8N2J02D</t>
  </si>
  <si>
    <t>CS0402-3N9J-S</t>
  </si>
  <si>
    <t>DFE322520FD-4R7M=P2</t>
  </si>
  <si>
    <t>NCD0603G2</t>
  </si>
  <si>
    <t>NCD0603R3</t>
  </si>
  <si>
    <t>NCD0603W3</t>
  </si>
  <si>
    <t>SI2302CDS</t>
  </si>
  <si>
    <t>AO3407</t>
  </si>
  <si>
    <t>MMBT3904M</t>
  </si>
  <si>
    <t>AR03BTCX2501N</t>
  </si>
  <si>
    <t>RC0603FR-073K9L</t>
  </si>
  <si>
    <t>RC0201FR-0710KL</t>
  </si>
  <si>
    <t>FRC0201J5R6 TS</t>
  </si>
  <si>
    <t>RC0402FR-0710KL</t>
  </si>
  <si>
    <t>RC0402FR-076K8L</t>
  </si>
  <si>
    <t>RC0402FR-071KL</t>
  </si>
  <si>
    <t>CRCW060322K0FKEA</t>
  </si>
  <si>
    <t>AF0402JR-071ML</t>
  </si>
  <si>
    <t>RK73H1ETTP1004F</t>
  </si>
  <si>
    <t>RC0402FR-07309KL</t>
  </si>
  <si>
    <t>RC0402FR-07120KL</t>
  </si>
  <si>
    <t>RC0402FR-074K7L</t>
  </si>
  <si>
    <t>CRCW0402330KFKEDC</t>
  </si>
  <si>
    <t>LDK320M-R</t>
  </si>
  <si>
    <t>STM32F103C8T6</t>
  </si>
  <si>
    <t>NRF24L01</t>
  </si>
  <si>
    <t>MT3540</t>
  </si>
  <si>
    <t>TAXM16M4RFBCCT2T</t>
  </si>
  <si>
    <t>ABM3-8.000MHZ-D2Y-T</t>
  </si>
  <si>
    <t>CM8V-T1A-32.768KHZ-6PF-20PPM-TA-QC</t>
  </si>
  <si>
    <t>Manufacturer</t>
  </si>
  <si>
    <t>TDK</t>
  </si>
  <si>
    <t>Murata</t>
  </si>
  <si>
    <t>Samsung</t>
  </si>
  <si>
    <t>Yageo</t>
  </si>
  <si>
    <t>Kyocera AVX</t>
  </si>
  <si>
    <t>Taiyo Yuden</t>
  </si>
  <si>
    <t>PSA</t>
  </si>
  <si>
    <t>FH (Guangdong Fenghua Advanced Tech)</t>
  </si>
  <si>
    <t>Vishay Semiconductors</t>
  </si>
  <si>
    <t>Eaton Bussmann</t>
  </si>
  <si>
    <t>Samtec</t>
  </si>
  <si>
    <t>Amphenol</t>
  </si>
  <si>
    <t>Chilisin Elec</t>
  </si>
  <si>
    <t>Foshan NationStar Optoelectronics</t>
  </si>
  <si>
    <t>OPSCO Optoelectronics</t>
  </si>
  <si>
    <t>TECH PUBLIC</t>
  </si>
  <si>
    <t>Guangdong Hottech</t>
  </si>
  <si>
    <t>Viking Tech</t>
  </si>
  <si>
    <t>FOJAN</t>
  </si>
  <si>
    <t>Vishay</t>
  </si>
  <si>
    <t>KOA Speer</t>
  </si>
  <si>
    <t>Nidec Copal</t>
  </si>
  <si>
    <t>BUBM</t>
  </si>
  <si>
    <t>Kailh</t>
  </si>
  <si>
    <t>Omron</t>
  </si>
  <si>
    <t>STMicroelectronics</t>
  </si>
  <si>
    <t>PixArt Imaging Inc</t>
  </si>
  <si>
    <t>Nordic Semiconductor</t>
  </si>
  <si>
    <t>XI'AN Aerosemi Tech</t>
  </si>
  <si>
    <t>TAE(Zhejiang Abel Elec)</t>
  </si>
  <si>
    <t>Abracon</t>
  </si>
  <si>
    <t>Micro Crystal</t>
  </si>
  <si>
    <t>0.1uF</t>
  </si>
  <si>
    <t>10uF</t>
  </si>
  <si>
    <t>4.7uF</t>
  </si>
  <si>
    <t>33uF</t>
  </si>
  <si>
    <t>10nF</t>
  </si>
  <si>
    <t>1nF</t>
  </si>
  <si>
    <t>4.7pF</t>
  </si>
  <si>
    <t>2.2nF</t>
  </si>
  <si>
    <t>1.5pF</t>
  </si>
  <si>
    <t>1pF</t>
  </si>
  <si>
    <t>22PF</t>
  </si>
  <si>
    <t>1uF</t>
  </si>
  <si>
    <t>4.7uf</t>
  </si>
  <si>
    <t>33nF</t>
  </si>
  <si>
    <t>DNP</t>
  </si>
  <si>
    <t>0.8pF</t>
  </si>
  <si>
    <t>6.2pF</t>
  </si>
  <si>
    <t>100MHz</t>
  </si>
  <si>
    <t>2.7nH</t>
  </si>
  <si>
    <t>8.2nH</t>
  </si>
  <si>
    <t>3.9nH</t>
  </si>
  <si>
    <t>2.5K</t>
  </si>
  <si>
    <t>3.9K</t>
  </si>
  <si>
    <t>10K</t>
  </si>
  <si>
    <t>5.6R</t>
  </si>
  <si>
    <t>6.8K</t>
  </si>
  <si>
    <t>1K</t>
  </si>
  <si>
    <t>22K</t>
  </si>
  <si>
    <t>1M</t>
  </si>
  <si>
    <t>309K</t>
  </si>
  <si>
    <t>120K</t>
  </si>
  <si>
    <t>4.7K</t>
  </si>
  <si>
    <t>330K</t>
  </si>
  <si>
    <t>16MHz</t>
  </si>
  <si>
    <t>8MHz</t>
  </si>
  <si>
    <t>Quantity</t>
  </si>
  <si>
    <t>Value</t>
  </si>
  <si>
    <t>-</t>
  </si>
  <si>
    <t>Custom</t>
  </si>
  <si>
    <t>Remarks</t>
  </si>
  <si>
    <t>Peripheral</t>
  </si>
  <si>
    <t>Battery</t>
  </si>
  <si>
    <t>3.7v 200mah 401020 Lithium Polymer Li-po Rechargeable Battery For Toys Cars Bluetooth Speaker Bluetooth Headset Digital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</si>
</sst>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70"/>
  <sheetViews>
    <sheetView tabSelected="1" topLeftCell="A55" workbookViewId="0">
      <selection activeCell="J70" sqref="J70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21</v>
      </c>
      <c r="E2" s="6" t="s">
        <v>89</v>
      </c>
      <c r="F2" s="5" t="s">
        <v>156</v>
      </c>
      <c r="G2" s="6" t="s">
        <v>189</v>
      </c>
      <c r="H2" s="5" t="s">
        <v>245</v>
      </c>
      <c r="I2" s="6" t="s">
        <v>314</v>
      </c>
      <c r="J2" s="5" t="s">
        <v>313</v>
      </c>
      <c r="K2" s="5" t="s">
        <v>317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22</v>
      </c>
      <c r="E3" s="8" t="s">
        <v>90</v>
      </c>
      <c r="F3" s="7" t="s">
        <v>316</v>
      </c>
      <c r="G3" s="8" t="s">
        <v>157</v>
      </c>
      <c r="H3" s="7" t="s">
        <v>246</v>
      </c>
      <c r="I3" s="8" t="s">
        <v>315</v>
      </c>
      <c r="J3" s="7">
        <v>1</v>
      </c>
      <c r="K3" s="7"/>
    </row>
    <row r="4" spans="1:11" ht="15.75" thickBot="1" x14ac:dyDescent="0.3">
      <c r="A4" s="1"/>
      <c r="B4" s="11">
        <f t="shared" ref="B4:B68" si="0">ROW(B4) - ROW($B$2)</f>
        <v>2</v>
      </c>
      <c r="C4" s="12" t="s">
        <v>3</v>
      </c>
      <c r="D4" s="9" t="s">
        <v>23</v>
      </c>
      <c r="E4" s="10" t="s">
        <v>91</v>
      </c>
      <c r="F4" s="9" t="s">
        <v>158</v>
      </c>
      <c r="G4" s="10" t="s">
        <v>190</v>
      </c>
      <c r="H4" s="9" t="s">
        <v>247</v>
      </c>
      <c r="I4" s="10" t="s">
        <v>278</v>
      </c>
      <c r="J4" s="9">
        <v>3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24</v>
      </c>
      <c r="E5" s="8" t="s">
        <v>92</v>
      </c>
      <c r="F5" s="7" t="s">
        <v>159</v>
      </c>
      <c r="G5" s="8" t="s">
        <v>191</v>
      </c>
      <c r="H5" s="7" t="s">
        <v>248</v>
      </c>
      <c r="I5" s="8" t="s">
        <v>279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25</v>
      </c>
      <c r="E6" s="10" t="s">
        <v>93</v>
      </c>
      <c r="F6" s="9" t="s">
        <v>160</v>
      </c>
      <c r="G6" s="10" t="s">
        <v>192</v>
      </c>
      <c r="H6" s="9" t="s">
        <v>246</v>
      </c>
      <c r="I6" s="10" t="s">
        <v>279</v>
      </c>
      <c r="J6" s="9">
        <v>6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26</v>
      </c>
      <c r="E7" s="8" t="s">
        <v>94</v>
      </c>
      <c r="F7" s="7" t="s">
        <v>160</v>
      </c>
      <c r="G7" s="8" t="s">
        <v>193</v>
      </c>
      <c r="H7" s="7" t="s">
        <v>246</v>
      </c>
      <c r="I7" s="8" t="s">
        <v>280</v>
      </c>
      <c r="J7" s="7">
        <v>1</v>
      </c>
      <c r="K7" s="7"/>
    </row>
    <row r="8" spans="1:11" ht="36.75" thickBot="1" x14ac:dyDescent="0.3">
      <c r="A8" s="1"/>
      <c r="B8" s="11">
        <f t="shared" si="0"/>
        <v>6</v>
      </c>
      <c r="C8" s="13" t="s">
        <v>3</v>
      </c>
      <c r="D8" s="9" t="s">
        <v>27</v>
      </c>
      <c r="E8" s="10" t="s">
        <v>95</v>
      </c>
      <c r="F8" s="9" t="s">
        <v>161</v>
      </c>
      <c r="G8" s="10" t="s">
        <v>194</v>
      </c>
      <c r="H8" s="9" t="s">
        <v>246</v>
      </c>
      <c r="I8" s="10" t="s">
        <v>281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3</v>
      </c>
      <c r="D9" s="7" t="s">
        <v>28</v>
      </c>
      <c r="E9" s="8" t="s">
        <v>96</v>
      </c>
      <c r="F9" s="7" t="s">
        <v>159</v>
      </c>
      <c r="G9" s="8" t="s">
        <v>195</v>
      </c>
      <c r="H9" s="7" t="s">
        <v>249</v>
      </c>
      <c r="I9" s="8" t="s">
        <v>282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3</v>
      </c>
      <c r="D10" s="9" t="s">
        <v>29</v>
      </c>
      <c r="E10" s="10" t="s">
        <v>97</v>
      </c>
      <c r="F10" s="9" t="s">
        <v>159</v>
      </c>
      <c r="G10" s="10" t="s">
        <v>196</v>
      </c>
      <c r="H10" s="9" t="s">
        <v>249</v>
      </c>
      <c r="I10" s="10" t="s">
        <v>283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3</v>
      </c>
      <c r="D11" s="7" t="s">
        <v>30</v>
      </c>
      <c r="E11" s="8" t="s">
        <v>98</v>
      </c>
      <c r="F11" s="7" t="s">
        <v>159</v>
      </c>
      <c r="G11" s="8" t="s">
        <v>197</v>
      </c>
      <c r="H11" s="7" t="s">
        <v>249</v>
      </c>
      <c r="I11" s="8" t="s">
        <v>284</v>
      </c>
      <c r="J11" s="7">
        <v>1</v>
      </c>
      <c r="K11" s="7"/>
    </row>
    <row r="12" spans="1:11" ht="24.75" thickBot="1" x14ac:dyDescent="0.3">
      <c r="A12" s="1"/>
      <c r="B12" s="11">
        <f t="shared" si="0"/>
        <v>10</v>
      </c>
      <c r="C12" s="13" t="s">
        <v>3</v>
      </c>
      <c r="D12" s="9" t="s">
        <v>31</v>
      </c>
      <c r="E12" s="10" t="s">
        <v>99</v>
      </c>
      <c r="F12" s="9" t="s">
        <v>159</v>
      </c>
      <c r="G12" s="10" t="s">
        <v>198</v>
      </c>
      <c r="H12" s="9" t="s">
        <v>250</v>
      </c>
      <c r="I12" s="10" t="s">
        <v>285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3</v>
      </c>
      <c r="D13" s="7" t="s">
        <v>32</v>
      </c>
      <c r="E13" s="8" t="s">
        <v>100</v>
      </c>
      <c r="F13" s="7" t="s">
        <v>159</v>
      </c>
      <c r="G13" s="8" t="s">
        <v>199</v>
      </c>
      <c r="H13" s="7" t="s">
        <v>249</v>
      </c>
      <c r="I13" s="8" t="s">
        <v>286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3</v>
      </c>
      <c r="D14" s="9" t="s">
        <v>33</v>
      </c>
      <c r="E14" s="10" t="s">
        <v>101</v>
      </c>
      <c r="F14" s="9" t="s">
        <v>159</v>
      </c>
      <c r="G14" s="10" t="s">
        <v>200</v>
      </c>
      <c r="H14" s="9" t="s">
        <v>249</v>
      </c>
      <c r="I14" s="10" t="s">
        <v>287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3</v>
      </c>
      <c r="D15" s="7" t="s">
        <v>34</v>
      </c>
      <c r="E15" s="8" t="s">
        <v>102</v>
      </c>
      <c r="F15" s="7" t="s">
        <v>159</v>
      </c>
      <c r="G15" s="8" t="s">
        <v>201</v>
      </c>
      <c r="H15" s="7" t="s">
        <v>249</v>
      </c>
      <c r="I15" s="8" t="s">
        <v>288</v>
      </c>
      <c r="J15" s="7">
        <v>4</v>
      </c>
      <c r="K15" s="7"/>
    </row>
    <row r="16" spans="1:11" ht="15.75" thickBot="1" x14ac:dyDescent="0.3">
      <c r="A16" s="1"/>
      <c r="B16" s="11">
        <f t="shared" si="0"/>
        <v>14</v>
      </c>
      <c r="C16" s="12" t="s">
        <v>3</v>
      </c>
      <c r="D16" s="9" t="s">
        <v>35</v>
      </c>
      <c r="E16" s="10" t="s">
        <v>103</v>
      </c>
      <c r="F16" s="9" t="s">
        <v>159</v>
      </c>
      <c r="G16" s="10" t="s">
        <v>202</v>
      </c>
      <c r="H16" s="9" t="s">
        <v>249</v>
      </c>
      <c r="I16" s="10" t="s">
        <v>282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3</v>
      </c>
      <c r="D17" s="7" t="s">
        <v>36</v>
      </c>
      <c r="E17" s="8" t="s">
        <v>104</v>
      </c>
      <c r="F17" s="7" t="s">
        <v>159</v>
      </c>
      <c r="G17" s="8" t="s">
        <v>203</v>
      </c>
      <c r="H17" s="7" t="s">
        <v>249</v>
      </c>
      <c r="I17" s="8" t="s">
        <v>289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2" t="s">
        <v>3</v>
      </c>
      <c r="D18" s="9" t="s">
        <v>37</v>
      </c>
      <c r="E18" s="10" t="s">
        <v>105</v>
      </c>
      <c r="F18" s="9" t="s">
        <v>159</v>
      </c>
      <c r="G18" s="10" t="s">
        <v>204</v>
      </c>
      <c r="H18" s="9" t="s">
        <v>246</v>
      </c>
      <c r="I18" s="10" t="s">
        <v>278</v>
      </c>
      <c r="J18" s="9">
        <v>7</v>
      </c>
      <c r="K18" s="9"/>
    </row>
    <row r="19" spans="1:11" ht="24.75" thickBot="1" x14ac:dyDescent="0.3">
      <c r="A19" s="1"/>
      <c r="B19" s="11">
        <f>ROW(B19) - ROW($B$2)</f>
        <v>17</v>
      </c>
      <c r="C19" s="12" t="s">
        <v>3</v>
      </c>
      <c r="D19" s="7" t="s">
        <v>38</v>
      </c>
      <c r="E19" s="8" t="s">
        <v>106</v>
      </c>
      <c r="F19" s="7" t="s">
        <v>159</v>
      </c>
      <c r="G19" s="8" t="s">
        <v>205</v>
      </c>
      <c r="H19" s="7" t="s">
        <v>251</v>
      </c>
      <c r="I19" s="8" t="s">
        <v>290</v>
      </c>
      <c r="J19" s="7">
        <v>1</v>
      </c>
      <c r="K19" s="7"/>
    </row>
    <row r="20" spans="1:11" ht="36.75" thickBot="1" x14ac:dyDescent="0.3">
      <c r="A20" s="1"/>
      <c r="B20" s="11">
        <f t="shared" si="0"/>
        <v>18</v>
      </c>
      <c r="C20" s="13" t="s">
        <v>3</v>
      </c>
      <c r="D20" s="9" t="s">
        <v>39</v>
      </c>
      <c r="E20" s="10" t="s">
        <v>107</v>
      </c>
      <c r="F20" s="9" t="s">
        <v>158</v>
      </c>
      <c r="G20" s="10" t="s">
        <v>206</v>
      </c>
      <c r="H20" s="9" t="s">
        <v>252</v>
      </c>
      <c r="I20" s="10" t="s">
        <v>291</v>
      </c>
      <c r="J20" s="9">
        <v>1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3</v>
      </c>
      <c r="D21" s="15" t="s">
        <v>40</v>
      </c>
      <c r="E21" s="16" t="s">
        <v>108</v>
      </c>
      <c r="F21" s="15" t="s">
        <v>159</v>
      </c>
      <c r="G21" s="16" t="s">
        <v>207</v>
      </c>
      <c r="H21" s="15" t="s">
        <v>253</v>
      </c>
      <c r="I21" s="16" t="s">
        <v>292</v>
      </c>
      <c r="J21" s="15">
        <v>2</v>
      </c>
      <c r="K21" s="15"/>
    </row>
    <row r="22" spans="1:11" ht="15.75" thickBot="1" x14ac:dyDescent="0.3">
      <c r="A22" s="1"/>
      <c r="B22" s="11">
        <f t="shared" si="0"/>
        <v>20</v>
      </c>
      <c r="C22" s="13" t="s">
        <v>3</v>
      </c>
      <c r="D22" s="9" t="s">
        <v>41</v>
      </c>
      <c r="E22" s="10" t="s">
        <v>109</v>
      </c>
      <c r="F22" s="9" t="s">
        <v>160</v>
      </c>
      <c r="G22" s="10" t="s">
        <v>208</v>
      </c>
      <c r="H22" s="9" t="s">
        <v>249</v>
      </c>
      <c r="I22" s="10" t="s">
        <v>280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3</v>
      </c>
      <c r="D23" s="7" t="s">
        <v>42</v>
      </c>
      <c r="E23" s="8" t="s">
        <v>110</v>
      </c>
      <c r="F23" s="7" t="s">
        <v>158</v>
      </c>
      <c r="G23" s="8" t="s">
        <v>209</v>
      </c>
      <c r="H23" s="7" t="s">
        <v>249</v>
      </c>
      <c r="I23" s="8" t="s">
        <v>293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3</v>
      </c>
      <c r="D24" s="9" t="s">
        <v>43</v>
      </c>
      <c r="E24" s="10" t="s">
        <v>111</v>
      </c>
      <c r="F24" s="9" t="s">
        <v>158</v>
      </c>
      <c r="G24" s="10" t="s">
        <v>210</v>
      </c>
      <c r="H24" s="9" t="s">
        <v>249</v>
      </c>
      <c r="I24" s="10" t="s">
        <v>294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4</v>
      </c>
      <c r="D25" s="7" t="s">
        <v>44</v>
      </c>
      <c r="E25" s="8" t="s">
        <v>112</v>
      </c>
      <c r="F25" s="7" t="s">
        <v>162</v>
      </c>
      <c r="G25" s="8" t="s">
        <v>211</v>
      </c>
      <c r="H25" s="7" t="s">
        <v>254</v>
      </c>
      <c r="I25" s="8" t="s">
        <v>315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5</v>
      </c>
      <c r="D26" s="9" t="s">
        <v>45</v>
      </c>
      <c r="E26" s="10" t="s">
        <v>113</v>
      </c>
      <c r="F26" s="9" t="s">
        <v>163</v>
      </c>
      <c r="G26" s="10" t="s">
        <v>212</v>
      </c>
      <c r="H26" s="9" t="s">
        <v>255</v>
      </c>
      <c r="I26" s="10" t="s">
        <v>295</v>
      </c>
      <c r="J26" s="9">
        <v>3</v>
      </c>
      <c r="K26" s="9"/>
    </row>
    <row r="27" spans="1:11" ht="26.25" thickBot="1" x14ac:dyDescent="0.3">
      <c r="A27" s="1"/>
      <c r="B27" s="11">
        <f>ROW(B27) - ROW($B$2)</f>
        <v>25</v>
      </c>
      <c r="C27" s="12" t="s">
        <v>6</v>
      </c>
      <c r="D27" s="7" t="s">
        <v>46</v>
      </c>
      <c r="E27" s="8" t="s">
        <v>114</v>
      </c>
      <c r="F27" s="7" t="s">
        <v>316</v>
      </c>
      <c r="G27" s="8" t="s">
        <v>164</v>
      </c>
      <c r="H27" s="7" t="s">
        <v>256</v>
      </c>
      <c r="I27" s="8" t="s">
        <v>315</v>
      </c>
      <c r="J27" s="7">
        <v>1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7</v>
      </c>
      <c r="D28" s="9" t="s">
        <v>47</v>
      </c>
      <c r="E28" s="10" t="s">
        <v>115</v>
      </c>
      <c r="F28" s="9" t="s">
        <v>165</v>
      </c>
      <c r="G28" s="10" t="s">
        <v>213</v>
      </c>
      <c r="H28" s="9" t="s">
        <v>257</v>
      </c>
      <c r="I28" s="8" t="s">
        <v>315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7</v>
      </c>
      <c r="D29" s="7" t="s">
        <v>48</v>
      </c>
      <c r="E29" s="8" t="s">
        <v>116</v>
      </c>
      <c r="F29" s="7" t="s">
        <v>166</v>
      </c>
      <c r="G29" s="8"/>
      <c r="H29" s="7"/>
      <c r="I29" s="8" t="s">
        <v>315</v>
      </c>
      <c r="J29" s="7">
        <v>1</v>
      </c>
      <c r="K29" s="7"/>
    </row>
    <row r="30" spans="1:11" ht="24.75" thickBot="1" x14ac:dyDescent="0.3">
      <c r="A30" s="1"/>
      <c r="B30" s="11">
        <f t="shared" si="0"/>
        <v>28</v>
      </c>
      <c r="C30" s="13" t="s">
        <v>8</v>
      </c>
      <c r="D30" s="9" t="s">
        <v>49</v>
      </c>
      <c r="E30" s="10" t="s">
        <v>117</v>
      </c>
      <c r="F30" s="9" t="s">
        <v>163</v>
      </c>
      <c r="G30" s="10" t="s">
        <v>214</v>
      </c>
      <c r="H30" s="9" t="s">
        <v>258</v>
      </c>
      <c r="I30" s="10" t="s">
        <v>296</v>
      </c>
      <c r="J30" s="9">
        <v>1</v>
      </c>
      <c r="K30" s="9"/>
    </row>
    <row r="31" spans="1:11" ht="24.75" thickBot="1" x14ac:dyDescent="0.3">
      <c r="A31" s="1"/>
      <c r="B31" s="11">
        <f>ROW(B31) - ROW($B$2)</f>
        <v>29</v>
      </c>
      <c r="C31" s="12" t="s">
        <v>9</v>
      </c>
      <c r="D31" s="7" t="s">
        <v>50</v>
      </c>
      <c r="E31" s="8" t="s">
        <v>118</v>
      </c>
      <c r="F31" s="7" t="s">
        <v>163</v>
      </c>
      <c r="G31" s="8" t="s">
        <v>215</v>
      </c>
      <c r="H31" s="7" t="s">
        <v>247</v>
      </c>
      <c r="I31" s="8" t="s">
        <v>297</v>
      </c>
      <c r="J31" s="7">
        <v>1</v>
      </c>
      <c r="K31" s="7"/>
    </row>
    <row r="32" spans="1:11" ht="24.75" thickBot="1" x14ac:dyDescent="0.3">
      <c r="A32" s="1"/>
      <c r="B32" s="11">
        <f t="shared" si="0"/>
        <v>30</v>
      </c>
      <c r="C32" s="13" t="s">
        <v>9</v>
      </c>
      <c r="D32" s="9" t="s">
        <v>51</v>
      </c>
      <c r="E32" s="10" t="s">
        <v>119</v>
      </c>
      <c r="F32" s="9" t="s">
        <v>163</v>
      </c>
      <c r="G32" s="10" t="s">
        <v>216</v>
      </c>
      <c r="H32" s="9" t="s">
        <v>258</v>
      </c>
      <c r="I32" s="10" t="s">
        <v>298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9</v>
      </c>
      <c r="D33" s="7" t="s">
        <v>52</v>
      </c>
      <c r="E33" s="8" t="s">
        <v>120</v>
      </c>
      <c r="F33" s="7" t="s">
        <v>167</v>
      </c>
      <c r="G33" s="8" t="s">
        <v>217</v>
      </c>
      <c r="H33" s="7" t="s">
        <v>247</v>
      </c>
      <c r="I33" s="8" t="s">
        <v>315</v>
      </c>
      <c r="J33" s="7">
        <v>1</v>
      </c>
      <c r="K33" s="7"/>
    </row>
    <row r="34" spans="1:11" ht="24.75" thickBot="1" x14ac:dyDescent="0.3">
      <c r="A34" s="1"/>
      <c r="B34" s="11">
        <f t="shared" si="0"/>
        <v>32</v>
      </c>
      <c r="C34" s="13" t="s">
        <v>10</v>
      </c>
      <c r="D34" s="9" t="s">
        <v>53</v>
      </c>
      <c r="E34" s="10" t="s">
        <v>121</v>
      </c>
      <c r="F34" s="9" t="s">
        <v>168</v>
      </c>
      <c r="G34" s="10" t="s">
        <v>218</v>
      </c>
      <c r="H34" s="9" t="s">
        <v>259</v>
      </c>
      <c r="I34" s="8" t="s">
        <v>315</v>
      </c>
      <c r="J34" s="9">
        <v>1</v>
      </c>
      <c r="K34" s="9"/>
    </row>
    <row r="35" spans="1:11" ht="24.75" thickBot="1" x14ac:dyDescent="0.3">
      <c r="A35" s="1"/>
      <c r="B35" s="11">
        <f>ROW(B35) - ROW($B$2)</f>
        <v>33</v>
      </c>
      <c r="C35" s="12" t="s">
        <v>10</v>
      </c>
      <c r="D35" s="7" t="s">
        <v>54</v>
      </c>
      <c r="E35" s="8" t="s">
        <v>122</v>
      </c>
      <c r="F35" s="7" t="s">
        <v>168</v>
      </c>
      <c r="G35" s="8" t="s">
        <v>219</v>
      </c>
      <c r="H35" s="7" t="s">
        <v>259</v>
      </c>
      <c r="I35" s="8" t="s">
        <v>315</v>
      </c>
      <c r="J35" s="7">
        <v>1</v>
      </c>
      <c r="K35" s="7"/>
    </row>
    <row r="36" spans="1:11" ht="24.75" thickBot="1" x14ac:dyDescent="0.3">
      <c r="A36" s="1"/>
      <c r="B36" s="11">
        <f t="shared" si="0"/>
        <v>34</v>
      </c>
      <c r="C36" s="13" t="s">
        <v>10</v>
      </c>
      <c r="D36" s="9" t="s">
        <v>55</v>
      </c>
      <c r="E36" s="10" t="s">
        <v>123</v>
      </c>
      <c r="F36" s="9" t="s">
        <v>168</v>
      </c>
      <c r="G36" s="10" t="s">
        <v>220</v>
      </c>
      <c r="H36" s="9" t="s">
        <v>259</v>
      </c>
      <c r="I36" s="8" t="s">
        <v>315</v>
      </c>
      <c r="J36" s="9">
        <v>1</v>
      </c>
      <c r="K36" s="9"/>
    </row>
    <row r="37" spans="1:11" ht="24.75" thickBot="1" x14ac:dyDescent="0.3">
      <c r="A37" s="1"/>
      <c r="B37" s="11">
        <f>ROW(B37) - ROW($B$2)</f>
        <v>35</v>
      </c>
      <c r="C37" s="12" t="s">
        <v>11</v>
      </c>
      <c r="D37" s="7" t="s">
        <v>56</v>
      </c>
      <c r="E37" s="8" t="s">
        <v>124</v>
      </c>
      <c r="F37" s="7" t="s">
        <v>316</v>
      </c>
      <c r="G37" s="8" t="s">
        <v>169</v>
      </c>
      <c r="H37" s="7" t="s">
        <v>260</v>
      </c>
      <c r="I37" s="8" t="s">
        <v>315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12</v>
      </c>
      <c r="D38" s="9" t="s">
        <v>57</v>
      </c>
      <c r="E38" s="10" t="s">
        <v>125</v>
      </c>
      <c r="F38" s="7" t="s">
        <v>316</v>
      </c>
      <c r="G38" s="9" t="s">
        <v>170</v>
      </c>
      <c r="H38" s="9"/>
      <c r="I38" s="8" t="s">
        <v>315</v>
      </c>
      <c r="J38" s="9">
        <v>4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13</v>
      </c>
      <c r="D39" s="7" t="s">
        <v>58</v>
      </c>
      <c r="E39" s="8" t="s">
        <v>126</v>
      </c>
      <c r="F39" s="7" t="s">
        <v>171</v>
      </c>
      <c r="G39" s="8" t="s">
        <v>221</v>
      </c>
      <c r="H39" s="7" t="s">
        <v>261</v>
      </c>
      <c r="I39" s="8" t="s">
        <v>315</v>
      </c>
      <c r="J39" s="7">
        <v>1</v>
      </c>
      <c r="K39" s="7"/>
    </row>
    <row r="40" spans="1:11" ht="36.75" thickBot="1" x14ac:dyDescent="0.3">
      <c r="A40" s="1"/>
      <c r="B40" s="11">
        <f t="shared" si="0"/>
        <v>38</v>
      </c>
      <c r="C40" s="13" t="s">
        <v>13</v>
      </c>
      <c r="D40" s="9" t="s">
        <v>59</v>
      </c>
      <c r="E40" s="10" t="s">
        <v>127</v>
      </c>
      <c r="F40" s="9" t="s">
        <v>172</v>
      </c>
      <c r="G40" s="10" t="s">
        <v>222</v>
      </c>
      <c r="H40" s="9" t="s">
        <v>262</v>
      </c>
      <c r="I40" s="8" t="s">
        <v>315</v>
      </c>
      <c r="J40" s="9">
        <v>1</v>
      </c>
      <c r="K40" s="9"/>
    </row>
    <row r="41" spans="1:11" ht="48.75" thickBot="1" x14ac:dyDescent="0.3">
      <c r="A41" s="1"/>
      <c r="B41" s="11">
        <f>ROW(B41) - ROW($B$2)</f>
        <v>39</v>
      </c>
      <c r="C41" s="12" t="s">
        <v>13</v>
      </c>
      <c r="D41" s="7" t="s">
        <v>60</v>
      </c>
      <c r="E41" s="8" t="s">
        <v>128</v>
      </c>
      <c r="F41" s="7" t="s">
        <v>173</v>
      </c>
      <c r="G41" s="8" t="s">
        <v>223</v>
      </c>
      <c r="H41" s="7" t="s">
        <v>261</v>
      </c>
      <c r="I41" s="8" t="s">
        <v>315</v>
      </c>
      <c r="J41" s="7">
        <v>1</v>
      </c>
      <c r="K41" s="7"/>
    </row>
    <row r="42" spans="1:11" ht="24.75" thickBot="1" x14ac:dyDescent="0.3">
      <c r="A42" s="1"/>
      <c r="B42" s="11">
        <f t="shared" si="0"/>
        <v>40</v>
      </c>
      <c r="C42" s="13" t="s">
        <v>14</v>
      </c>
      <c r="D42" s="9" t="s">
        <v>61</v>
      </c>
      <c r="E42" s="10" t="s">
        <v>129</v>
      </c>
      <c r="F42" s="9" t="s">
        <v>174</v>
      </c>
      <c r="G42" s="10" t="s">
        <v>224</v>
      </c>
      <c r="H42" s="9" t="s">
        <v>263</v>
      </c>
      <c r="I42" s="10" t="s">
        <v>299</v>
      </c>
      <c r="J42" s="9">
        <v>1</v>
      </c>
      <c r="K42" s="9"/>
    </row>
    <row r="43" spans="1:11" ht="15.75" thickBot="1" x14ac:dyDescent="0.3">
      <c r="A43" s="1"/>
      <c r="B43" s="11">
        <f>ROW(B43) - ROW($B$2)</f>
        <v>41</v>
      </c>
      <c r="C43" s="12"/>
      <c r="D43" s="7" t="s">
        <v>62</v>
      </c>
      <c r="E43" s="8" t="s">
        <v>130</v>
      </c>
      <c r="F43" s="7" t="s">
        <v>174</v>
      </c>
      <c r="G43" s="8" t="s">
        <v>225</v>
      </c>
      <c r="H43" s="7" t="s">
        <v>249</v>
      </c>
      <c r="I43" s="8" t="s">
        <v>300</v>
      </c>
      <c r="J43" s="7">
        <v>2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14</v>
      </c>
      <c r="D44" s="9" t="s">
        <v>63</v>
      </c>
      <c r="E44" s="10" t="s">
        <v>131</v>
      </c>
      <c r="F44" s="9" t="s">
        <v>175</v>
      </c>
      <c r="G44" s="10" t="s">
        <v>226</v>
      </c>
      <c r="H44" s="9" t="s">
        <v>249</v>
      </c>
      <c r="I44" s="10" t="s">
        <v>301</v>
      </c>
      <c r="J44" s="9">
        <v>1</v>
      </c>
      <c r="K44" s="9"/>
    </row>
    <row r="45" spans="1:11" ht="36.75" thickBot="1" x14ac:dyDescent="0.3">
      <c r="A45" s="1"/>
      <c r="B45" s="11">
        <f>ROW(B45) - ROW($B$2)</f>
        <v>43</v>
      </c>
      <c r="C45" s="12" t="s">
        <v>14</v>
      </c>
      <c r="D45" s="7" t="s">
        <v>64</v>
      </c>
      <c r="E45" s="8" t="s">
        <v>132</v>
      </c>
      <c r="F45" s="7" t="s">
        <v>175</v>
      </c>
      <c r="G45" s="8" t="s">
        <v>227</v>
      </c>
      <c r="H45" s="7" t="s">
        <v>264</v>
      </c>
      <c r="I45" s="8" t="s">
        <v>302</v>
      </c>
      <c r="J45" s="7">
        <v>1</v>
      </c>
      <c r="K45" s="7"/>
    </row>
    <row r="46" spans="1:11" ht="24.75" thickBot="1" x14ac:dyDescent="0.3">
      <c r="A46" s="1"/>
      <c r="B46" s="11">
        <f t="shared" si="0"/>
        <v>44</v>
      </c>
      <c r="C46" s="13" t="s">
        <v>14</v>
      </c>
      <c r="D46" s="9" t="s">
        <v>65</v>
      </c>
      <c r="E46" s="10" t="s">
        <v>133</v>
      </c>
      <c r="F46" s="9" t="s">
        <v>176</v>
      </c>
      <c r="G46" s="10" t="s">
        <v>228</v>
      </c>
      <c r="H46" s="9" t="s">
        <v>249</v>
      </c>
      <c r="I46" s="10" t="s">
        <v>301</v>
      </c>
      <c r="J46" s="9">
        <v>12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14</v>
      </c>
      <c r="D47" s="7" t="s">
        <v>66</v>
      </c>
      <c r="E47" s="8" t="s">
        <v>134</v>
      </c>
      <c r="F47" s="7" t="s">
        <v>176</v>
      </c>
      <c r="G47" s="8" t="s">
        <v>229</v>
      </c>
      <c r="H47" s="7" t="s">
        <v>249</v>
      </c>
      <c r="I47" s="8" t="s">
        <v>303</v>
      </c>
      <c r="J47" s="7">
        <v>1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14</v>
      </c>
      <c r="D48" s="9" t="s">
        <v>67</v>
      </c>
      <c r="E48" s="10" t="s">
        <v>135</v>
      </c>
      <c r="F48" s="9" t="s">
        <v>176</v>
      </c>
      <c r="G48" s="10" t="s">
        <v>230</v>
      </c>
      <c r="H48" s="9" t="s">
        <v>249</v>
      </c>
      <c r="I48" s="10" t="s">
        <v>304</v>
      </c>
      <c r="J48" s="9">
        <v>5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14</v>
      </c>
      <c r="D49" s="7" t="s">
        <v>68</v>
      </c>
      <c r="E49" s="8" t="s">
        <v>136</v>
      </c>
      <c r="F49" s="7" t="s">
        <v>174</v>
      </c>
      <c r="G49" s="8" t="s">
        <v>231</v>
      </c>
      <c r="H49" s="7" t="s">
        <v>265</v>
      </c>
      <c r="I49" s="8" t="s">
        <v>305</v>
      </c>
      <c r="J49" s="7">
        <v>1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14</v>
      </c>
      <c r="D50" s="9" t="s">
        <v>69</v>
      </c>
      <c r="E50" s="10" t="s">
        <v>137</v>
      </c>
      <c r="F50" s="9" t="s">
        <v>176</v>
      </c>
      <c r="G50" s="10" t="s">
        <v>232</v>
      </c>
      <c r="H50" s="9" t="s">
        <v>249</v>
      </c>
      <c r="I50" s="10" t="s">
        <v>306</v>
      </c>
      <c r="J50" s="9">
        <v>2</v>
      </c>
      <c r="K50" s="9"/>
    </row>
    <row r="51" spans="1:11" ht="36.75" thickBot="1" x14ac:dyDescent="0.3">
      <c r="A51" s="1"/>
      <c r="B51" s="11">
        <f>ROW(B51) - ROW($B$2)</f>
        <v>49</v>
      </c>
      <c r="C51" s="12" t="s">
        <v>14</v>
      </c>
      <c r="D51" s="7" t="s">
        <v>70</v>
      </c>
      <c r="E51" s="8" t="s">
        <v>138</v>
      </c>
      <c r="F51" s="7" t="s">
        <v>176</v>
      </c>
      <c r="G51" s="8" t="s">
        <v>233</v>
      </c>
      <c r="H51" s="7" t="s">
        <v>266</v>
      </c>
      <c r="I51" s="8" t="s">
        <v>306</v>
      </c>
      <c r="J51" s="7">
        <v>1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14</v>
      </c>
      <c r="D52" s="15" t="s">
        <v>71</v>
      </c>
      <c r="E52" s="16" t="s">
        <v>137</v>
      </c>
      <c r="F52" s="15" t="s">
        <v>176</v>
      </c>
      <c r="G52" s="16" t="s">
        <v>232</v>
      </c>
      <c r="H52" s="15" t="s">
        <v>249</v>
      </c>
      <c r="I52" s="16" t="s">
        <v>292</v>
      </c>
      <c r="J52" s="15">
        <v>1</v>
      </c>
      <c r="K52" s="15"/>
    </row>
    <row r="53" spans="1:11" ht="15.75" thickBot="1" x14ac:dyDescent="0.3">
      <c r="A53" s="1"/>
      <c r="B53" s="11">
        <f>ROW(B53) - ROW($B$2)</f>
        <v>51</v>
      </c>
      <c r="C53" s="12" t="s">
        <v>14</v>
      </c>
      <c r="D53" s="7" t="s">
        <v>72</v>
      </c>
      <c r="E53" s="8" t="s">
        <v>139</v>
      </c>
      <c r="F53" s="7" t="s">
        <v>176</v>
      </c>
      <c r="G53" s="8" t="s">
        <v>234</v>
      </c>
      <c r="H53" s="7" t="s">
        <v>249</v>
      </c>
      <c r="I53" s="8" t="s">
        <v>307</v>
      </c>
      <c r="J53" s="7">
        <v>1</v>
      </c>
      <c r="K53" s="7"/>
    </row>
    <row r="54" spans="1:11" ht="15.75" thickBot="1" x14ac:dyDescent="0.3">
      <c r="A54" s="1"/>
      <c r="B54" s="11">
        <f t="shared" si="0"/>
        <v>52</v>
      </c>
      <c r="C54" s="13" t="s">
        <v>14</v>
      </c>
      <c r="D54" s="9" t="s">
        <v>73</v>
      </c>
      <c r="E54" s="10" t="s">
        <v>140</v>
      </c>
      <c r="F54" s="9" t="s">
        <v>176</v>
      </c>
      <c r="G54" s="10" t="s">
        <v>235</v>
      </c>
      <c r="H54" s="9" t="s">
        <v>249</v>
      </c>
      <c r="I54" s="10" t="s">
        <v>308</v>
      </c>
      <c r="J54" s="9">
        <v>1</v>
      </c>
      <c r="K54" s="9"/>
    </row>
    <row r="55" spans="1:11" ht="15.75" thickBot="1" x14ac:dyDescent="0.3">
      <c r="A55" s="1"/>
      <c r="B55" s="11">
        <f>ROW(B55) - ROW($B$2)</f>
        <v>53</v>
      </c>
      <c r="C55" s="12" t="s">
        <v>14</v>
      </c>
      <c r="D55" s="7" t="s">
        <v>74</v>
      </c>
      <c r="E55" s="8" t="s">
        <v>141</v>
      </c>
      <c r="F55" s="7" t="s">
        <v>176</v>
      </c>
      <c r="G55" s="8" t="s">
        <v>236</v>
      </c>
      <c r="H55" s="7" t="s">
        <v>249</v>
      </c>
      <c r="I55" s="8" t="s">
        <v>309</v>
      </c>
      <c r="J55" s="7">
        <v>1</v>
      </c>
      <c r="K55" s="7"/>
    </row>
    <row r="56" spans="1:11" ht="15.75" thickBot="1" x14ac:dyDescent="0.3">
      <c r="A56" s="1"/>
      <c r="B56" s="11">
        <f t="shared" si="0"/>
        <v>54</v>
      </c>
      <c r="C56" s="13" t="s">
        <v>14</v>
      </c>
      <c r="D56" s="9" t="s">
        <v>75</v>
      </c>
      <c r="E56" s="10" t="s">
        <v>142</v>
      </c>
      <c r="F56" s="9" t="s">
        <v>176</v>
      </c>
      <c r="G56" s="10" t="s">
        <v>237</v>
      </c>
      <c r="H56" s="9" t="s">
        <v>265</v>
      </c>
      <c r="I56" s="10" t="s">
        <v>310</v>
      </c>
      <c r="J56" s="9">
        <v>1</v>
      </c>
      <c r="K56" s="9"/>
    </row>
    <row r="57" spans="1:11" ht="15.75" thickBot="1" x14ac:dyDescent="0.3">
      <c r="A57" s="1"/>
      <c r="B57" s="11">
        <f>ROW(B57) - ROW($B$2)</f>
        <v>55</v>
      </c>
      <c r="C57" s="12" t="s">
        <v>15</v>
      </c>
      <c r="D57" s="7" t="s">
        <v>76</v>
      </c>
      <c r="E57" s="8" t="s">
        <v>143</v>
      </c>
      <c r="F57" s="9" t="s">
        <v>316</v>
      </c>
      <c r="G57" s="8" t="s">
        <v>177</v>
      </c>
      <c r="H57" s="7" t="s">
        <v>267</v>
      </c>
      <c r="I57" s="8" t="s">
        <v>315</v>
      </c>
      <c r="J57" s="7">
        <v>1</v>
      </c>
      <c r="K57" s="7"/>
    </row>
    <row r="58" spans="1:11" ht="36.75" thickBot="1" x14ac:dyDescent="0.3">
      <c r="A58" s="1"/>
      <c r="B58" s="11">
        <f t="shared" si="0"/>
        <v>56</v>
      </c>
      <c r="C58" s="13" t="s">
        <v>16</v>
      </c>
      <c r="D58" s="9" t="s">
        <v>77</v>
      </c>
      <c r="E58" s="10" t="s">
        <v>144</v>
      </c>
      <c r="F58" s="9" t="s">
        <v>316</v>
      </c>
      <c r="G58" s="10" t="s">
        <v>178</v>
      </c>
      <c r="H58" s="9" t="s">
        <v>268</v>
      </c>
      <c r="I58" s="8" t="s">
        <v>315</v>
      </c>
      <c r="J58" s="9">
        <v>5</v>
      </c>
      <c r="K58" s="9"/>
    </row>
    <row r="59" spans="1:11" ht="15.75" thickBot="1" x14ac:dyDescent="0.3">
      <c r="A59" s="1"/>
      <c r="B59" s="11">
        <f>ROW(B59) - ROW($B$2)</f>
        <v>57</v>
      </c>
      <c r="C59" s="12" t="s">
        <v>17</v>
      </c>
      <c r="D59" s="7" t="s">
        <v>78</v>
      </c>
      <c r="E59" s="8" t="s">
        <v>145</v>
      </c>
      <c r="F59" s="9" t="s">
        <v>316</v>
      </c>
      <c r="G59" s="8" t="s">
        <v>179</v>
      </c>
      <c r="H59" s="7" t="s">
        <v>269</v>
      </c>
      <c r="I59" s="8" t="s">
        <v>315</v>
      </c>
      <c r="J59" s="7">
        <v>1</v>
      </c>
      <c r="K59" s="7"/>
    </row>
    <row r="60" spans="1:11" ht="15.75" thickBot="1" x14ac:dyDescent="0.3">
      <c r="A60" s="1"/>
      <c r="B60" s="11">
        <f t="shared" si="0"/>
        <v>58</v>
      </c>
      <c r="C60" s="13"/>
      <c r="D60" s="9" t="s">
        <v>79</v>
      </c>
      <c r="E60" s="10" t="s">
        <v>146</v>
      </c>
      <c r="F60" s="9" t="s">
        <v>316</v>
      </c>
      <c r="G60" s="10" t="s">
        <v>180</v>
      </c>
      <c r="H60" s="9"/>
      <c r="I60" s="8" t="s">
        <v>315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18</v>
      </c>
      <c r="D61" s="7" t="s">
        <v>80</v>
      </c>
      <c r="E61" s="8" t="s">
        <v>147</v>
      </c>
      <c r="F61" s="9" t="s">
        <v>316</v>
      </c>
      <c r="G61" s="8" t="s">
        <v>181</v>
      </c>
      <c r="H61" s="7" t="s">
        <v>270</v>
      </c>
      <c r="I61" s="8" t="s">
        <v>315</v>
      </c>
      <c r="J61" s="7">
        <v>1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19</v>
      </c>
      <c r="D62" s="9" t="s">
        <v>81</v>
      </c>
      <c r="E62" s="10" t="s">
        <v>148</v>
      </c>
      <c r="F62" s="9" t="s">
        <v>182</v>
      </c>
      <c r="G62" s="10" t="s">
        <v>238</v>
      </c>
      <c r="H62" s="9" t="s">
        <v>271</v>
      </c>
      <c r="I62" s="8" t="s">
        <v>315</v>
      </c>
      <c r="J62" s="9">
        <v>2</v>
      </c>
      <c r="K62" s="9"/>
    </row>
    <row r="63" spans="1:11" ht="24.75" thickBot="1" x14ac:dyDescent="0.3">
      <c r="A63" s="1"/>
      <c r="B63" s="11">
        <f>ROW(B63) - ROW($B$2)</f>
        <v>61</v>
      </c>
      <c r="C63" s="12" t="s">
        <v>19</v>
      </c>
      <c r="D63" s="7" t="s">
        <v>82</v>
      </c>
      <c r="E63" s="8" t="s">
        <v>149</v>
      </c>
      <c r="F63" s="9" t="s">
        <v>316</v>
      </c>
      <c r="G63" s="8" t="s">
        <v>183</v>
      </c>
      <c r="H63" s="7" t="s">
        <v>272</v>
      </c>
      <c r="I63" s="8" t="s">
        <v>315</v>
      </c>
      <c r="J63" s="7">
        <v>1</v>
      </c>
      <c r="K63" s="7"/>
    </row>
    <row r="64" spans="1:11" ht="36.75" thickBot="1" x14ac:dyDescent="0.3">
      <c r="A64" s="1"/>
      <c r="B64" s="11">
        <f t="shared" si="0"/>
        <v>62</v>
      </c>
      <c r="C64" s="13"/>
      <c r="D64" s="9" t="s">
        <v>83</v>
      </c>
      <c r="E64" s="10" t="s">
        <v>150</v>
      </c>
      <c r="F64" s="9" t="s">
        <v>184</v>
      </c>
      <c r="G64" s="10" t="s">
        <v>239</v>
      </c>
      <c r="H64" s="9" t="s">
        <v>271</v>
      </c>
      <c r="I64" s="8" t="s">
        <v>315</v>
      </c>
      <c r="J64" s="9">
        <v>1</v>
      </c>
      <c r="K64" s="9"/>
    </row>
    <row r="65" spans="1:11" ht="15.75" thickBot="1" x14ac:dyDescent="0.3">
      <c r="A65" s="1"/>
      <c r="B65" s="11">
        <f>ROW(B65) - ROW($B$2)</f>
        <v>63</v>
      </c>
      <c r="C65" s="12" t="s">
        <v>19</v>
      </c>
      <c r="D65" s="7" t="s">
        <v>84</v>
      </c>
      <c r="E65" s="8" t="s">
        <v>151</v>
      </c>
      <c r="F65" s="7" t="s">
        <v>185</v>
      </c>
      <c r="G65" s="8" t="s">
        <v>240</v>
      </c>
      <c r="H65" s="7" t="s">
        <v>273</v>
      </c>
      <c r="I65" s="8" t="s">
        <v>315</v>
      </c>
      <c r="J65" s="7">
        <v>1</v>
      </c>
      <c r="K65" s="7"/>
    </row>
    <row r="66" spans="1:11" ht="24.75" thickBot="1" x14ac:dyDescent="0.3">
      <c r="A66" s="1"/>
      <c r="B66" s="11">
        <f t="shared" si="0"/>
        <v>64</v>
      </c>
      <c r="C66" s="13" t="s">
        <v>19</v>
      </c>
      <c r="D66" s="9" t="s">
        <v>85</v>
      </c>
      <c r="E66" s="10" t="s">
        <v>152</v>
      </c>
      <c r="F66" s="9" t="s">
        <v>182</v>
      </c>
      <c r="G66" s="10" t="s">
        <v>241</v>
      </c>
      <c r="H66" s="9" t="s">
        <v>274</v>
      </c>
      <c r="I66" s="8" t="s">
        <v>315</v>
      </c>
      <c r="J66" s="9">
        <v>1</v>
      </c>
      <c r="K66" s="9"/>
    </row>
    <row r="67" spans="1:11" ht="24.75" thickBot="1" x14ac:dyDescent="0.3">
      <c r="A67" s="1"/>
      <c r="B67" s="11">
        <f>ROW(B67) - ROW($B$2)</f>
        <v>65</v>
      </c>
      <c r="C67" s="12" t="s">
        <v>20</v>
      </c>
      <c r="D67" s="7" t="s">
        <v>86</v>
      </c>
      <c r="E67" s="8" t="s">
        <v>153</v>
      </c>
      <c r="F67" s="7" t="s">
        <v>186</v>
      </c>
      <c r="G67" s="8" t="s">
        <v>242</v>
      </c>
      <c r="H67" s="7" t="s">
        <v>275</v>
      </c>
      <c r="I67" s="8" t="s">
        <v>311</v>
      </c>
      <c r="J67" s="7">
        <v>1</v>
      </c>
      <c r="K67" s="7"/>
    </row>
    <row r="68" spans="1:11" ht="24.75" thickBot="1" x14ac:dyDescent="0.3">
      <c r="A68" s="1"/>
      <c r="B68" s="11">
        <f t="shared" si="0"/>
        <v>66</v>
      </c>
      <c r="C68" s="13" t="s">
        <v>20</v>
      </c>
      <c r="D68" s="9" t="s">
        <v>87</v>
      </c>
      <c r="E68" s="10" t="s">
        <v>154</v>
      </c>
      <c r="F68" s="9" t="s">
        <v>187</v>
      </c>
      <c r="G68" s="10" t="s">
        <v>243</v>
      </c>
      <c r="H68" s="9" t="s">
        <v>276</v>
      </c>
      <c r="I68" s="10" t="s">
        <v>312</v>
      </c>
      <c r="J68" s="9">
        <v>1</v>
      </c>
      <c r="K68" s="9"/>
    </row>
    <row r="69" spans="1:11" ht="15.75" thickBot="1" x14ac:dyDescent="0.3">
      <c r="A69" s="1"/>
      <c r="B69" s="11">
        <f>ROW(B69) - ROW($B$2)</f>
        <v>67</v>
      </c>
      <c r="C69" s="13" t="s">
        <v>20</v>
      </c>
      <c r="D69" s="15" t="s">
        <v>88</v>
      </c>
      <c r="E69" s="16" t="s">
        <v>155</v>
      </c>
      <c r="F69" s="15" t="s">
        <v>188</v>
      </c>
      <c r="G69" s="16" t="s">
        <v>244</v>
      </c>
      <c r="H69" s="15" t="s">
        <v>277</v>
      </c>
      <c r="I69" s="16" t="s">
        <v>292</v>
      </c>
      <c r="J69" s="15">
        <v>1</v>
      </c>
      <c r="K69" s="15"/>
    </row>
    <row r="70" spans="1:11" ht="48.75" thickBot="1" x14ac:dyDescent="0.3">
      <c r="B70" s="11">
        <f>ROW(B70) - ROW($B$2)</f>
        <v>68</v>
      </c>
      <c r="C70" s="13" t="s">
        <v>318</v>
      </c>
      <c r="D70" s="9" t="s">
        <v>315</v>
      </c>
      <c r="E70" s="10" t="s">
        <v>320</v>
      </c>
      <c r="F70" s="9" t="s">
        <v>315</v>
      </c>
      <c r="G70" s="10" t="s">
        <v>319</v>
      </c>
      <c r="H70" s="9" t="s">
        <v>315</v>
      </c>
      <c r="I70" s="10" t="s">
        <v>315</v>
      </c>
      <c r="J70" s="9">
        <v>1</v>
      </c>
      <c r="K70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2024-05-09T15:11:10Z</dcterms:modified>
</cp:coreProperties>
</file>